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ms89\AppData\Roaming\Claude\scratch-workspaces\a72c5ced-5896-445f-ba4c-143e77ffe85d\78e220c2-1d03-4db7-9c30-facaa620e845\scratch-2026-10-19-6e9fe4\v3\tests\fixtures\"/>
    </mc:Choice>
  </mc:AlternateContent>
  <xr:revisionPtr revIDLastSave="0" documentId="8_{B6433E43-4C0A-49A4-BA2D-A13140DB6E1A}" xr6:coauthVersionLast="47" xr6:coauthVersionMax="47" xr10:uidLastSave="{00000000-0000-0000-0000-000000000000}"/>
  <bookViews>
    <workbookView xWindow="-120" yWindow="-120" windowWidth="29040" windowHeight="15720" xr2:uid="{00000000-000D-0000-FFFF-FFFF00000000}"/>
  </bookViews>
  <sheets>
    <sheet name="Start Here" sheetId="1" r:id="rId1"/>
    <sheet name="Scenario" sheetId="2" r:id="rId2"/>
    <sheet name="Chase Plan" sheetId="3" r:id="rId3"/>
    <sheet name="Level Plan" sheetId="4" r:id="rId4"/>
    <sheet name="Hybrid Plan" sheetId="5" r:id="rId5"/>
    <sheet name="Summary" sheetId="6" r:id="rId6"/>
    <sheet name="Excel Help" sheetId="7" r:id="rId7"/>
    <sheet name="_meta" sheetId="8" state="veryHidden" r:id="rId8"/>
  </sheets>
  <definedNames>
    <definedName name="BackorderCost">Scenario!$F$18</definedName>
    <definedName name="BeginInv">Scenario!$F$6</definedName>
    <definedName name="BottlesPerHour">Scenario!$F$11</definedName>
    <definedName name="DaysPerMonth">Scenario!$F$13</definedName>
    <definedName name="EndTarget">Scenario!$F$8</definedName>
    <definedName name="HireCost">Scenario!$F$15</definedName>
    <definedName name="HoldCost">Scenario!$F$17</definedName>
    <definedName name="HoursPerDay">Scenario!$F$12</definedName>
    <definedName name="LaborCost">Scenario!$F$14</definedName>
    <definedName name="LayoffCost">Scenario!$F$16</definedName>
    <definedName name="MaxInventory">Scenario!$F$9</definedName>
    <definedName name="OTCost">Scenario!$F$20</definedName>
    <definedName name="OTLimitPct">Scenario!$F$19</definedName>
    <definedName name="SafetyStock">Scenario!$F$7</definedName>
    <definedName name="StartWorkers">Scenario!$F$10</definedName>
    <definedName name="SubCapacity">Scenario!$F$22</definedName>
    <definedName name="SubCost">Scenario!$F$21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4" i="6" l="1"/>
  <c r="I14" i="5"/>
  <c r="H14" i="5"/>
  <c r="G14" i="5"/>
  <c r="S13" i="5"/>
  <c r="R13" i="5"/>
  <c r="O13" i="5"/>
  <c r="L13" i="5"/>
  <c r="Q13" i="5" s="1"/>
  <c r="K13" i="5"/>
  <c r="P13" i="5" s="1"/>
  <c r="J13" i="5"/>
  <c r="S12" i="5"/>
  <c r="R12" i="5"/>
  <c r="O12" i="5"/>
  <c r="L12" i="5"/>
  <c r="Q12" i="5" s="1"/>
  <c r="K12" i="5"/>
  <c r="P12" i="5" s="1"/>
  <c r="J12" i="5"/>
  <c r="S11" i="5"/>
  <c r="R11" i="5"/>
  <c r="O11" i="5"/>
  <c r="L11" i="5"/>
  <c r="Q11" i="5" s="1"/>
  <c r="K11" i="5"/>
  <c r="P11" i="5" s="1"/>
  <c r="J11" i="5"/>
  <c r="S10" i="5"/>
  <c r="R10" i="5"/>
  <c r="O10" i="5"/>
  <c r="L10" i="5"/>
  <c r="Q10" i="5" s="1"/>
  <c r="K10" i="5"/>
  <c r="P10" i="5" s="1"/>
  <c r="J10" i="5"/>
  <c r="S9" i="5"/>
  <c r="R9" i="5"/>
  <c r="O9" i="5"/>
  <c r="L9" i="5"/>
  <c r="Q9" i="5" s="1"/>
  <c r="K9" i="5"/>
  <c r="P9" i="5" s="1"/>
  <c r="J9" i="5"/>
  <c r="S8" i="5"/>
  <c r="R8" i="5"/>
  <c r="O8" i="5"/>
  <c r="L8" i="5"/>
  <c r="Q8" i="5" s="1"/>
  <c r="K8" i="5"/>
  <c r="P8" i="5" s="1"/>
  <c r="J8" i="5"/>
  <c r="S7" i="5"/>
  <c r="R7" i="5"/>
  <c r="O7" i="5"/>
  <c r="L7" i="5"/>
  <c r="Q7" i="5" s="1"/>
  <c r="K7" i="5"/>
  <c r="P7" i="5" s="1"/>
  <c r="J7" i="5"/>
  <c r="S6" i="5"/>
  <c r="R6" i="5"/>
  <c r="O6" i="5"/>
  <c r="L6" i="5"/>
  <c r="Q6" i="5" s="1"/>
  <c r="K6" i="5"/>
  <c r="P6" i="5" s="1"/>
  <c r="J6" i="5"/>
  <c r="S5" i="5"/>
  <c r="R5" i="5"/>
  <c r="O5" i="5"/>
  <c r="L5" i="5"/>
  <c r="Q5" i="5" s="1"/>
  <c r="K5" i="5"/>
  <c r="P5" i="5" s="1"/>
  <c r="J5" i="5"/>
  <c r="S4" i="5"/>
  <c r="R4" i="5"/>
  <c r="O4" i="5"/>
  <c r="L4" i="5"/>
  <c r="Q4" i="5" s="1"/>
  <c r="K4" i="5"/>
  <c r="P4" i="5" s="1"/>
  <c r="J4" i="5"/>
  <c r="S3" i="5"/>
  <c r="R3" i="5"/>
  <c r="O3" i="5"/>
  <c r="L3" i="5"/>
  <c r="K3" i="5"/>
  <c r="P3" i="5" s="1"/>
  <c r="J3" i="5"/>
  <c r="Y2" i="5"/>
  <c r="F13" i="5" s="1"/>
  <c r="S2" i="5"/>
  <c r="R2" i="5"/>
  <c r="O2" i="5"/>
  <c r="L2" i="5"/>
  <c r="Q2" i="5" s="1"/>
  <c r="K2" i="5"/>
  <c r="P2" i="5" s="1"/>
  <c r="J2" i="5"/>
  <c r="J14" i="5" s="1"/>
  <c r="F2" i="5"/>
  <c r="D2" i="5"/>
  <c r="N2" i="5" s="1"/>
  <c r="C2" i="5"/>
  <c r="M2" i="5" s="1"/>
  <c r="S4" i="4"/>
  <c r="S3" i="4"/>
  <c r="S2" i="4"/>
  <c r="D2" i="4"/>
  <c r="C2" i="4"/>
  <c r="S3" i="3"/>
  <c r="S2" i="3"/>
  <c r="D2" i="3"/>
  <c r="C2" i="3"/>
  <c r="E2" i="3" s="1"/>
  <c r="R14" i="5" l="1"/>
  <c r="D7" i="6" s="1"/>
  <c r="S14" i="5"/>
  <c r="D8" i="6" s="1"/>
  <c r="Y3" i="5"/>
  <c r="F2" i="3"/>
  <c r="K14" i="5"/>
  <c r="D12" i="6" s="1"/>
  <c r="I2" i="3"/>
  <c r="T2" i="5"/>
  <c r="C3" i="5"/>
  <c r="L14" i="5"/>
  <c r="D13" i="6" s="1"/>
  <c r="J2" i="3"/>
  <c r="U2" i="5"/>
  <c r="V2" i="5" s="1"/>
  <c r="D3" i="5"/>
  <c r="N3" i="5" s="1"/>
  <c r="O14" i="5"/>
  <c r="D4" i="6" s="1"/>
  <c r="P14" i="5"/>
  <c r="D5" i="6" s="1"/>
  <c r="S5" i="4"/>
  <c r="Q3" i="5"/>
  <c r="F4" i="5"/>
  <c r="F6" i="5"/>
  <c r="F8" i="5"/>
  <c r="F10" i="5"/>
  <c r="F12" i="5"/>
  <c r="F3" i="5"/>
  <c r="F5" i="5"/>
  <c r="F7" i="5"/>
  <c r="F9" i="5"/>
  <c r="F11" i="5"/>
  <c r="F14" i="5" l="1"/>
  <c r="O2" i="3"/>
  <c r="D3" i="3"/>
  <c r="Q14" i="5"/>
  <c r="D6" i="6" s="1"/>
  <c r="M3" i="5"/>
  <c r="K2" i="3"/>
  <c r="G2" i="3"/>
  <c r="H2" i="3"/>
  <c r="E13" i="4"/>
  <c r="S6" i="4"/>
  <c r="E9" i="4"/>
  <c r="E11" i="4"/>
  <c r="E2" i="4"/>
  <c r="E4" i="4"/>
  <c r="E8" i="4"/>
  <c r="E10" i="4"/>
  <c r="E12" i="4"/>
  <c r="E7" i="4"/>
  <c r="E6" i="4"/>
  <c r="E3" i="4"/>
  <c r="E5" i="4"/>
  <c r="D4" i="5"/>
  <c r="U3" i="5"/>
  <c r="N2" i="3"/>
  <c r="C3" i="3"/>
  <c r="E3" i="3" l="1"/>
  <c r="I3" i="3" s="1"/>
  <c r="L2" i="3"/>
  <c r="F4" i="4"/>
  <c r="F9" i="4"/>
  <c r="F11" i="4"/>
  <c r="F13" i="4"/>
  <c r="F2" i="4"/>
  <c r="F6" i="4"/>
  <c r="F10" i="4"/>
  <c r="F12" i="4"/>
  <c r="F7" i="4"/>
  <c r="F3" i="4"/>
  <c r="F5" i="4"/>
  <c r="F8" i="4"/>
  <c r="M2" i="3"/>
  <c r="C4" i="5"/>
  <c r="M4" i="5" s="1"/>
  <c r="T3" i="5"/>
  <c r="N4" i="5"/>
  <c r="P2" i="3"/>
  <c r="E14" i="4"/>
  <c r="J2" i="4"/>
  <c r="I2" i="4"/>
  <c r="C4" i="3" l="1"/>
  <c r="N3" i="3"/>
  <c r="D5" i="5"/>
  <c r="U4" i="5"/>
  <c r="N2" i="4"/>
  <c r="C3" i="4"/>
  <c r="H6" i="4"/>
  <c r="M6" i="4" s="1"/>
  <c r="K5" i="4"/>
  <c r="G5" i="4"/>
  <c r="L5" i="4" s="1"/>
  <c r="H11" i="4"/>
  <c r="M11" i="4" s="1"/>
  <c r="G10" i="4"/>
  <c r="L10" i="4" s="1"/>
  <c r="K10" i="4"/>
  <c r="K2" i="4"/>
  <c r="G2" i="4"/>
  <c r="H2" i="4"/>
  <c r="C14" i="6"/>
  <c r="H3" i="4"/>
  <c r="M3" i="4" s="1"/>
  <c r="K4" i="4"/>
  <c r="G4" i="4"/>
  <c r="L4" i="4" s="1"/>
  <c r="H5" i="4"/>
  <c r="M5" i="4" s="1"/>
  <c r="O2" i="4"/>
  <c r="D3" i="4"/>
  <c r="J3" i="4" s="1"/>
  <c r="C5" i="5"/>
  <c r="M5" i="5" s="1"/>
  <c r="T4" i="5"/>
  <c r="V4" i="5" s="1"/>
  <c r="K8" i="4"/>
  <c r="G8" i="4"/>
  <c r="L8" i="4" s="1"/>
  <c r="H9" i="4"/>
  <c r="M9" i="4" s="1"/>
  <c r="K7" i="4"/>
  <c r="G7" i="4"/>
  <c r="L7" i="4" s="1"/>
  <c r="H8" i="4"/>
  <c r="M8" i="4" s="1"/>
  <c r="K6" i="4"/>
  <c r="G6" i="4"/>
  <c r="L6" i="4" s="1"/>
  <c r="H7" i="4"/>
  <c r="M7" i="4" s="1"/>
  <c r="G13" i="4"/>
  <c r="L13" i="4" s="1"/>
  <c r="K13" i="4"/>
  <c r="G9" i="4"/>
  <c r="L9" i="4" s="1"/>
  <c r="H10" i="4"/>
  <c r="M10" i="4" s="1"/>
  <c r="K9" i="4"/>
  <c r="J3" i="3"/>
  <c r="V3" i="5"/>
  <c r="H4" i="4"/>
  <c r="M4" i="4" s="1"/>
  <c r="K3" i="4"/>
  <c r="G3" i="4"/>
  <c r="L3" i="4" s="1"/>
  <c r="H13" i="4"/>
  <c r="M13" i="4" s="1"/>
  <c r="K12" i="4"/>
  <c r="G12" i="4"/>
  <c r="L12" i="4" s="1"/>
  <c r="K11" i="4"/>
  <c r="G11" i="4"/>
  <c r="L11" i="4" s="1"/>
  <c r="H12" i="4"/>
  <c r="M12" i="4" s="1"/>
  <c r="F3" i="3"/>
  <c r="D4" i="4" l="1"/>
  <c r="O3" i="4"/>
  <c r="L2" i="4"/>
  <c r="L14" i="4" s="1"/>
  <c r="C5" i="6" s="1"/>
  <c r="G14" i="4"/>
  <c r="C12" i="6" s="1"/>
  <c r="O3" i="3"/>
  <c r="D4" i="3"/>
  <c r="I3" i="4"/>
  <c r="K3" i="3"/>
  <c r="G3" i="3"/>
  <c r="H3" i="3"/>
  <c r="C6" i="5"/>
  <c r="T5" i="5"/>
  <c r="M2" i="4"/>
  <c r="M14" i="4" s="1"/>
  <c r="C6" i="6" s="1"/>
  <c r="H14" i="4"/>
  <c r="C13" i="6" s="1"/>
  <c r="E4" i="3"/>
  <c r="K14" i="4"/>
  <c r="C4" i="6" s="1"/>
  <c r="N5" i="5"/>
  <c r="D6" i="5" l="1"/>
  <c r="N6" i="5" s="1"/>
  <c r="U5" i="5"/>
  <c r="F4" i="3"/>
  <c r="M6" i="5"/>
  <c r="M3" i="3"/>
  <c r="L3" i="3"/>
  <c r="P3" i="3"/>
  <c r="N3" i="4"/>
  <c r="C4" i="4"/>
  <c r="I4" i="4" s="1"/>
  <c r="J4" i="3"/>
  <c r="J4" i="4"/>
  <c r="I4" i="3"/>
  <c r="V5" i="5"/>
  <c r="P2" i="4"/>
  <c r="O4" i="4" l="1"/>
  <c r="D5" i="4"/>
  <c r="N4" i="4"/>
  <c r="P4" i="4" s="1"/>
  <c r="C5" i="4"/>
  <c r="I5" i="4" s="1"/>
  <c r="C7" i="5"/>
  <c r="T6" i="5"/>
  <c r="C5" i="3"/>
  <c r="N4" i="3"/>
  <c r="P3" i="4"/>
  <c r="K4" i="3"/>
  <c r="G4" i="3"/>
  <c r="H4" i="3"/>
  <c r="D7" i="5"/>
  <c r="N7" i="5" s="1"/>
  <c r="U6" i="5"/>
  <c r="D5" i="3"/>
  <c r="O4" i="3"/>
  <c r="N5" i="4" l="1"/>
  <c r="C6" i="4"/>
  <c r="D8" i="5"/>
  <c r="U7" i="5"/>
  <c r="M4" i="3"/>
  <c r="E5" i="3"/>
  <c r="J5" i="3" s="1"/>
  <c r="M7" i="5"/>
  <c r="J5" i="4"/>
  <c r="V6" i="5"/>
  <c r="L4" i="3"/>
  <c r="O5" i="3" l="1"/>
  <c r="D6" i="3"/>
  <c r="C8" i="5"/>
  <c r="M8" i="5" s="1"/>
  <c r="T7" i="5"/>
  <c r="V7" i="5" s="1"/>
  <c r="O5" i="4"/>
  <c r="D6" i="4"/>
  <c r="J6" i="4" s="1"/>
  <c r="F5" i="3"/>
  <c r="I5" i="3"/>
  <c r="P5" i="4"/>
  <c r="P4" i="3"/>
  <c r="N5" i="3" l="1"/>
  <c r="C6" i="3"/>
  <c r="C9" i="5"/>
  <c r="T8" i="5"/>
  <c r="K5" i="3"/>
  <c r="G5" i="3"/>
  <c r="H5" i="3"/>
  <c r="N8" i="5"/>
  <c r="O6" i="4"/>
  <c r="D7" i="4"/>
  <c r="I6" i="4"/>
  <c r="D9" i="5" l="1"/>
  <c r="N9" i="5" s="1"/>
  <c r="U8" i="5"/>
  <c r="L5" i="3"/>
  <c r="C7" i="4"/>
  <c r="I7" i="4" s="1"/>
  <c r="N6" i="4"/>
  <c r="M9" i="5"/>
  <c r="J7" i="4"/>
  <c r="M5" i="3"/>
  <c r="P5" i="3" s="1"/>
  <c r="V8" i="5"/>
  <c r="E6" i="3"/>
  <c r="I6" i="3" s="1"/>
  <c r="C7" i="3" l="1"/>
  <c r="N6" i="3"/>
  <c r="C10" i="5"/>
  <c r="T9" i="5"/>
  <c r="F6" i="3"/>
  <c r="J6" i="3"/>
  <c r="D8" i="4"/>
  <c r="O7" i="4"/>
  <c r="P6" i="4"/>
  <c r="C8" i="4"/>
  <c r="I8" i="4" s="1"/>
  <c r="N7" i="4"/>
  <c r="P7" i="4" s="1"/>
  <c r="D10" i="5"/>
  <c r="N10" i="5" s="1"/>
  <c r="U9" i="5"/>
  <c r="J8" i="4" l="1"/>
  <c r="V9" i="5"/>
  <c r="U10" i="5"/>
  <c r="D11" i="5"/>
  <c r="C9" i="4"/>
  <c r="N8" i="4"/>
  <c r="D7" i="3"/>
  <c r="O6" i="3"/>
  <c r="M10" i="5"/>
  <c r="G6" i="3"/>
  <c r="K6" i="3"/>
  <c r="H6" i="3"/>
  <c r="E7" i="3"/>
  <c r="F7" i="3" s="1"/>
  <c r="G7" i="3" l="1"/>
  <c r="L7" i="3" s="1"/>
  <c r="K7" i="3"/>
  <c r="I7" i="3"/>
  <c r="M6" i="3"/>
  <c r="H7" i="3"/>
  <c r="M7" i="3" s="1"/>
  <c r="L6" i="3"/>
  <c r="P6" i="3" s="1"/>
  <c r="J7" i="3"/>
  <c r="C11" i="5"/>
  <c r="M11" i="5" s="1"/>
  <c r="T10" i="5"/>
  <c r="V10" i="5" s="1"/>
  <c r="D9" i="4"/>
  <c r="J9" i="4" s="1"/>
  <c r="O8" i="4"/>
  <c r="P8" i="4" s="1"/>
  <c r="D10" i="4" l="1"/>
  <c r="O9" i="4"/>
  <c r="I9" i="4"/>
  <c r="C12" i="5"/>
  <c r="T11" i="5"/>
  <c r="N7" i="3"/>
  <c r="C8" i="3"/>
  <c r="N11" i="5"/>
  <c r="D8" i="3"/>
  <c r="O7" i="3"/>
  <c r="P7" i="3"/>
  <c r="D12" i="5" l="1"/>
  <c r="N12" i="5" s="1"/>
  <c r="U11" i="5"/>
  <c r="V11" i="5" s="1"/>
  <c r="E8" i="3"/>
  <c r="F8" i="3" s="1"/>
  <c r="M12" i="5"/>
  <c r="C10" i="4"/>
  <c r="I10" i="4" s="1"/>
  <c r="N9" i="4"/>
  <c r="P9" i="4" s="1"/>
  <c r="J10" i="4" l="1"/>
  <c r="I8" i="3"/>
  <c r="D11" i="4"/>
  <c r="O10" i="4"/>
  <c r="C13" i="5"/>
  <c r="T12" i="5"/>
  <c r="N8" i="3"/>
  <c r="C9" i="3"/>
  <c r="C11" i="4"/>
  <c r="I11" i="4" s="1"/>
  <c r="N10" i="4"/>
  <c r="P10" i="4" s="1"/>
  <c r="K8" i="3"/>
  <c r="G8" i="3"/>
  <c r="L8" i="3" s="1"/>
  <c r="H8" i="3"/>
  <c r="M8" i="3" s="1"/>
  <c r="J8" i="3"/>
  <c r="D13" i="5"/>
  <c r="N13" i="5" s="1"/>
  <c r="U12" i="5"/>
  <c r="U13" i="5" l="1"/>
  <c r="U14" i="5" s="1"/>
  <c r="D10" i="6" s="1"/>
  <c r="D16" i="6"/>
  <c r="O8" i="3"/>
  <c r="D9" i="3"/>
  <c r="P8" i="3"/>
  <c r="C12" i="4"/>
  <c r="N11" i="4"/>
  <c r="E9" i="3"/>
  <c r="F9" i="3" s="1"/>
  <c r="V12" i="5"/>
  <c r="M13" i="5"/>
  <c r="J11" i="4"/>
  <c r="D12" i="4" l="1"/>
  <c r="J12" i="4" s="1"/>
  <c r="O11" i="4"/>
  <c r="K9" i="3"/>
  <c r="G9" i="3"/>
  <c r="L9" i="3" s="1"/>
  <c r="H9" i="3"/>
  <c r="M9" i="3" s="1"/>
  <c r="I9" i="3"/>
  <c r="P11" i="4"/>
  <c r="I12" i="4"/>
  <c r="J9" i="3"/>
  <c r="T13" i="5"/>
  <c r="D15" i="6"/>
  <c r="C13" i="4" l="1"/>
  <c r="N12" i="4"/>
  <c r="D10" i="3"/>
  <c r="O9" i="3"/>
  <c r="V13" i="5"/>
  <c r="V14" i="5" s="1"/>
  <c r="D11" i="6" s="1"/>
  <c r="T14" i="5"/>
  <c r="D9" i="6" s="1"/>
  <c r="C10" i="3"/>
  <c r="N9" i="3"/>
  <c r="P9" i="3"/>
  <c r="D13" i="4"/>
  <c r="J13" i="4" s="1"/>
  <c r="O12" i="4"/>
  <c r="O13" i="4" l="1"/>
  <c r="O14" i="4" s="1"/>
  <c r="C10" i="6" s="1"/>
  <c r="C16" i="6"/>
  <c r="E10" i="3"/>
  <c r="F10" i="3" s="1"/>
  <c r="I10" i="3"/>
  <c r="J10" i="3"/>
  <c r="P12" i="4"/>
  <c r="I13" i="4"/>
  <c r="N13" i="4" l="1"/>
  <c r="C15" i="6"/>
  <c r="O10" i="3"/>
  <c r="D11" i="3"/>
  <c r="N10" i="3"/>
  <c r="C11" i="3"/>
  <c r="K10" i="3"/>
  <c r="G10" i="3"/>
  <c r="L10" i="3" s="1"/>
  <c r="H10" i="3"/>
  <c r="M10" i="3" s="1"/>
  <c r="E11" i="3" l="1"/>
  <c r="F11" i="3" s="1"/>
  <c r="P10" i="3"/>
  <c r="P13" i="4"/>
  <c r="P14" i="4" s="1"/>
  <c r="C11" i="6" s="1"/>
  <c r="N14" i="4"/>
  <c r="C9" i="6" s="1"/>
  <c r="J11" i="3" l="1"/>
  <c r="I11" i="3"/>
  <c r="K11" i="3"/>
  <c r="G11" i="3"/>
  <c r="L11" i="3" s="1"/>
  <c r="H11" i="3"/>
  <c r="M11" i="3" s="1"/>
  <c r="C12" i="3" l="1"/>
  <c r="N11" i="3"/>
  <c r="O11" i="3"/>
  <c r="D12" i="3"/>
  <c r="P11" i="3" l="1"/>
  <c r="E12" i="3"/>
  <c r="F12" i="3" s="1"/>
  <c r="K12" i="3" l="1"/>
  <c r="G12" i="3"/>
  <c r="L12" i="3" s="1"/>
  <c r="H12" i="3"/>
  <c r="M12" i="3" s="1"/>
  <c r="I12" i="3"/>
  <c r="J12" i="3"/>
  <c r="C13" i="3" l="1"/>
  <c r="N12" i="3"/>
  <c r="D13" i="3"/>
  <c r="O12" i="3"/>
  <c r="P12" i="3" l="1"/>
  <c r="E13" i="3"/>
  <c r="I13" i="3" s="1"/>
  <c r="N13" i="3" l="1"/>
  <c r="N14" i="3" s="1"/>
  <c r="B9" i="6" s="1"/>
  <c r="B15" i="6"/>
  <c r="F13" i="3"/>
  <c r="E14" i="3"/>
  <c r="J13" i="3"/>
  <c r="K13" i="3" l="1"/>
  <c r="G13" i="3"/>
  <c r="B14" i="6"/>
  <c r="H13" i="3"/>
  <c r="O13" i="3"/>
  <c r="O14" i="3" s="1"/>
  <c r="B10" i="6" s="1"/>
  <c r="B16" i="6"/>
  <c r="M13" i="3" l="1"/>
  <c r="M14" i="3" s="1"/>
  <c r="B6" i="6" s="1"/>
  <c r="H14" i="3"/>
  <c r="B13" i="6" s="1"/>
  <c r="L13" i="3"/>
  <c r="L14" i="3" s="1"/>
  <c r="B5" i="6" s="1"/>
  <c r="G14" i="3"/>
  <c r="B12" i="6" s="1"/>
  <c r="K14" i="3"/>
  <c r="B4" i="6" s="1"/>
  <c r="P13" i="3" l="1"/>
  <c r="P14" i="3" s="1"/>
  <c r="B11" i="6" s="1"/>
  <c r="B19" i="6" l="1"/>
  <c r="B18"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A1" authorId="0" shapeId="0" xr:uid="{00000000-0006-0000-0200-000001000000}">
      <text>
        <r>
          <rPr>
            <sz val="11"/>
            <color theme="1"/>
            <rFont val="Calibri"/>
            <family val="2"/>
            <scheme val="minor"/>
          </rPr>
          <t>Month</t>
        </r>
      </text>
    </comment>
    <comment ref="B1" authorId="0" shapeId="0" xr:uid="{00000000-0006-0000-0200-000002000000}">
      <text>
        <r>
          <rPr>
            <sz val="11"/>
            <color theme="1"/>
            <rFont val="Calibri"/>
            <family val="2"/>
            <scheme val="minor"/>
          </rPr>
          <t>Demand
Unit: bottles</t>
        </r>
      </text>
    </comment>
    <comment ref="C1" authorId="0" shapeId="0" xr:uid="{00000000-0006-0000-0200-000003000000}">
      <text>
        <r>
          <rPr>
            <sz val="11"/>
            <color theme="1"/>
            <rFont val="Calibri"/>
            <family val="2"/>
            <scheme val="minor"/>
          </rPr>
          <t>Beginning Inventory
Unit: bottles
January = BeginInv. Later months = last month's Ending Inventory.</t>
        </r>
      </text>
    </comment>
    <comment ref="D1" authorId="0" shapeId="0" xr:uid="{00000000-0006-0000-0200-000004000000}">
      <text>
        <r>
          <rPr>
            <sz val="11"/>
            <color theme="1"/>
            <rFont val="Calibri"/>
            <family val="2"/>
            <scheme val="minor"/>
          </rPr>
          <t>Beginning Backorders
Unit: bottles
January = 0. Later months = last month's Ending Backorders.</t>
        </r>
      </text>
    </comment>
    <comment ref="E1" authorId="0" shapeId="0" xr:uid="{00000000-0006-0000-0200-000005000000}">
      <text>
        <r>
          <rPr>
            <sz val="11"/>
            <color theme="1"/>
            <rFont val="Calibri"/>
            <family val="2"/>
            <scheme val="minor"/>
          </rPr>
          <t>Production
Unit: bottles
MAX(0, Demand + EndTarget − Beginning Inventory + Beginning Backorders): make exactly what this month needs.</t>
        </r>
      </text>
    </comment>
    <comment ref="F1" authorId="0" shapeId="0" xr:uid="{00000000-0006-0000-0200-000006000000}">
      <text>
        <r>
          <rPr>
            <sz val="11"/>
            <color theme="1"/>
            <rFont val="Calibri"/>
            <family val="2"/>
            <scheme val="minor"/>
          </rPr>
          <t>Workers
Unit: workers
ROUNDUP(Production ÷ capacity per worker, 0): whole workers, so round UP.</t>
        </r>
      </text>
    </comment>
    <comment ref="G1" authorId="0" shapeId="0" xr:uid="{00000000-0006-0000-0200-000007000000}">
      <text>
        <r>
          <rPr>
            <sz val="11"/>
            <color theme="1"/>
            <rFont val="Calibri"/>
            <family val="2"/>
            <scheme val="minor"/>
          </rPr>
          <t>Hires
Unit: workers
MAX(0, Workers − last month's Workers). January compares with StartWorkers.</t>
        </r>
      </text>
    </comment>
    <comment ref="H1" authorId="0" shapeId="0" xr:uid="{00000000-0006-0000-0200-000008000000}">
      <text>
        <r>
          <rPr>
            <sz val="11"/>
            <color theme="1"/>
            <rFont val="Calibri"/>
            <family val="2"/>
            <scheme val="minor"/>
          </rPr>
          <t>Layoffs
Unit: workers
MAX(0, last month's Workers − Workers). January compares with StartWorkers.</t>
        </r>
      </text>
    </comment>
    <comment ref="I1" authorId="0" shapeId="0" xr:uid="{00000000-0006-0000-0200-000009000000}">
      <text>
        <r>
          <rPr>
            <sz val="11"/>
            <color theme="1"/>
            <rFont val="Calibri"/>
            <family val="2"/>
            <scheme val="minor"/>
          </rPr>
          <t>Ending Inventory
Unit: bottles
MAX(0, Beginning Inventory + Production − Beginning Backorders − Demand). Inventory is never negative.</t>
        </r>
      </text>
    </comment>
    <comment ref="J1" authorId="0" shapeId="0" xr:uid="{00000000-0006-0000-0200-00000A000000}">
      <text>
        <r>
          <rPr>
            <sz val="11"/>
            <color theme="1"/>
            <rFont val="Calibri"/>
            <family val="2"/>
            <scheme val="minor"/>
          </rPr>
          <t>Ending Backorders
Unit: bottles
MAX(0, Demand + Beginning Backorders − Beginning Inventory − Production). Unfilled orders carried to next month.</t>
        </r>
      </text>
    </comment>
    <comment ref="K1" authorId="0" shapeId="0" xr:uid="{00000000-0006-0000-0200-00000B000000}">
      <text>
        <r>
          <rPr>
            <sz val="11"/>
            <color theme="1"/>
            <rFont val="Calibri"/>
            <family val="2"/>
            <scheme val="minor"/>
          </rPr>
          <t>Labor Cost
Unit: $
Workers × LaborCost (workers are paid whether or not they are busy).</t>
        </r>
      </text>
    </comment>
    <comment ref="L1" authorId="0" shapeId="0" xr:uid="{00000000-0006-0000-0200-00000C000000}">
      <text>
        <r>
          <rPr>
            <sz val="11"/>
            <color theme="1"/>
            <rFont val="Calibri"/>
            <family val="2"/>
            <scheme val="minor"/>
          </rPr>
          <t>Hiring Cost
Unit: $
Hires × HireCost.</t>
        </r>
      </text>
    </comment>
    <comment ref="M1" authorId="0" shapeId="0" xr:uid="{00000000-0006-0000-0200-00000D000000}">
      <text>
        <r>
          <rPr>
            <sz val="11"/>
            <color theme="1"/>
            <rFont val="Calibri"/>
            <family val="2"/>
            <scheme val="minor"/>
          </rPr>
          <t>Layoff Cost
Unit: $
Layoffs × LayoffCost.</t>
        </r>
      </text>
    </comment>
    <comment ref="N1" authorId="0" shapeId="0" xr:uid="{00000000-0006-0000-0200-00000E000000}">
      <text>
        <r>
          <rPr>
            <sz val="11"/>
            <color theme="1"/>
            <rFont val="Calibri"/>
            <family val="2"/>
            <scheme val="minor"/>
          </rPr>
          <t>Holding Cost
Unit: $
Ending Inventory × HoldCost.</t>
        </r>
      </text>
    </comment>
    <comment ref="O1" authorId="0" shapeId="0" xr:uid="{00000000-0006-0000-0200-00000F000000}">
      <text>
        <r>
          <rPr>
            <sz val="11"/>
            <color theme="1"/>
            <rFont val="Calibri"/>
            <family val="2"/>
            <scheme val="minor"/>
          </rPr>
          <t>Backorder Cost
Unit: $
Ending Backorders × BackorderCost.</t>
        </r>
      </text>
    </comment>
    <comment ref="P1" authorId="0" shapeId="0" xr:uid="{00000000-0006-0000-0200-000010000000}">
      <text>
        <r>
          <rPr>
            <sz val="11"/>
            <color theme="1"/>
            <rFont val="Calibri"/>
            <family val="2"/>
            <scheme val="minor"/>
          </rPr>
          <t>Total Cost
Unit: $
Labor + Hiring + Layoff + Holding + Backorder.</t>
        </r>
      </text>
    </comment>
    <comment ref="S2" authorId="0" shapeId="0" xr:uid="{00000000-0006-0000-0200-000011000000}">
      <text>
        <r>
          <rPr>
            <sz val="11"/>
            <color theme="1"/>
            <rFont val="Calibri"/>
            <family val="2"/>
            <scheme val="minor"/>
          </rPr>
          <t>Capacity per worker
BottlesPerHour × HoursPerDay × DaysPerMonth.</t>
        </r>
      </text>
    </comment>
    <comment ref="S3" authorId="0" shapeId="0" xr:uid="{00000000-0006-0000-0200-000012000000}">
      <text>
        <r>
          <rPr>
            <sz val="11"/>
            <color theme="1"/>
            <rFont val="Calibri"/>
            <family val="2"/>
            <scheme val="minor"/>
          </rPr>
          <t>Ending inventory target
=EndTarget (the inventory each month should end with).</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A1" authorId="0" shapeId="0" xr:uid="{00000000-0006-0000-0300-000001000000}">
      <text>
        <r>
          <rPr>
            <sz val="11"/>
            <color theme="1"/>
            <rFont val="Calibri"/>
            <family val="2"/>
            <scheme val="minor"/>
          </rPr>
          <t>Month</t>
        </r>
      </text>
    </comment>
    <comment ref="B1" authorId="0" shapeId="0" xr:uid="{00000000-0006-0000-0300-000002000000}">
      <text>
        <r>
          <rPr>
            <sz val="11"/>
            <color theme="1"/>
            <rFont val="Calibri"/>
            <family val="2"/>
            <scheme val="minor"/>
          </rPr>
          <t>Demand
Unit: bottles</t>
        </r>
      </text>
    </comment>
    <comment ref="C1" authorId="0" shapeId="0" xr:uid="{00000000-0006-0000-0300-000003000000}">
      <text>
        <r>
          <rPr>
            <sz val="11"/>
            <color theme="1"/>
            <rFont val="Calibri"/>
            <family val="2"/>
            <scheme val="minor"/>
          </rPr>
          <t>Beginning Inventory
Unit: bottles
January = BeginInv. Later months = last month's Ending Inventory.</t>
        </r>
      </text>
    </comment>
    <comment ref="D1" authorId="0" shapeId="0" xr:uid="{00000000-0006-0000-0300-000004000000}">
      <text>
        <r>
          <rPr>
            <sz val="11"/>
            <color theme="1"/>
            <rFont val="Calibri"/>
            <family val="2"/>
            <scheme val="minor"/>
          </rPr>
          <t>Beginning Backorders
Unit: bottles
January = 0. Later months = last month's Ending Backorders.</t>
        </r>
      </text>
    </comment>
    <comment ref="E1" authorId="0" shapeId="0" xr:uid="{00000000-0006-0000-0300-000005000000}">
      <text>
        <r>
          <rPr>
            <sz val="11"/>
            <color theme="1"/>
            <rFont val="Calibri"/>
            <family val="2"/>
            <scheme val="minor"/>
          </rPr>
          <t>Production
Unit: bottles
the level production per month from your planning cell (same every month).</t>
        </r>
      </text>
    </comment>
    <comment ref="F1" authorId="0" shapeId="0" xr:uid="{00000000-0006-0000-0300-000006000000}">
      <text>
        <r>
          <rPr>
            <sz val="11"/>
            <color theme="1"/>
            <rFont val="Calibri"/>
            <family val="2"/>
            <scheme val="minor"/>
          </rPr>
          <t>Workers
Unit: workers
the level workforce from your planning cell (same every month).</t>
        </r>
      </text>
    </comment>
    <comment ref="G1" authorId="0" shapeId="0" xr:uid="{00000000-0006-0000-0300-000007000000}">
      <text>
        <r>
          <rPr>
            <sz val="11"/>
            <color theme="1"/>
            <rFont val="Calibri"/>
            <family val="2"/>
            <scheme val="minor"/>
          </rPr>
          <t>Hires
Unit: workers
MAX(0, Workers − last month's Workers). January compares with StartWorkers.</t>
        </r>
      </text>
    </comment>
    <comment ref="H1" authorId="0" shapeId="0" xr:uid="{00000000-0006-0000-0300-000008000000}">
      <text>
        <r>
          <rPr>
            <sz val="11"/>
            <color theme="1"/>
            <rFont val="Calibri"/>
            <family val="2"/>
            <scheme val="minor"/>
          </rPr>
          <t>Layoffs
Unit: workers
MAX(0, last month's Workers − Workers). January compares with StartWorkers.</t>
        </r>
      </text>
    </comment>
    <comment ref="I1" authorId="0" shapeId="0" xr:uid="{00000000-0006-0000-0300-000009000000}">
      <text>
        <r>
          <rPr>
            <sz val="11"/>
            <color theme="1"/>
            <rFont val="Calibri"/>
            <family val="2"/>
            <scheme val="minor"/>
          </rPr>
          <t>Ending Inventory
Unit: bottles
MAX(0, Beginning Inventory + Production − Beginning Backorders − Demand). Inventory is never negative.</t>
        </r>
      </text>
    </comment>
    <comment ref="J1" authorId="0" shapeId="0" xr:uid="{00000000-0006-0000-0300-00000A000000}">
      <text>
        <r>
          <rPr>
            <sz val="11"/>
            <color theme="1"/>
            <rFont val="Calibri"/>
            <family val="2"/>
            <scheme val="minor"/>
          </rPr>
          <t>Ending Backorders
Unit: bottles
MAX(0, Demand + Beginning Backorders − Beginning Inventory − Production). Unfilled orders carried to next month.</t>
        </r>
      </text>
    </comment>
    <comment ref="K1" authorId="0" shapeId="0" xr:uid="{00000000-0006-0000-0300-00000B000000}">
      <text>
        <r>
          <rPr>
            <sz val="11"/>
            <color theme="1"/>
            <rFont val="Calibri"/>
            <family val="2"/>
            <scheme val="minor"/>
          </rPr>
          <t>Labor Cost
Unit: $
Workers × LaborCost (workers are paid whether or not they are busy).</t>
        </r>
      </text>
    </comment>
    <comment ref="L1" authorId="0" shapeId="0" xr:uid="{00000000-0006-0000-0300-00000C000000}">
      <text>
        <r>
          <rPr>
            <sz val="11"/>
            <color theme="1"/>
            <rFont val="Calibri"/>
            <family val="2"/>
            <scheme val="minor"/>
          </rPr>
          <t>Hiring Cost
Unit: $
Hires × HireCost.</t>
        </r>
      </text>
    </comment>
    <comment ref="M1" authorId="0" shapeId="0" xr:uid="{00000000-0006-0000-0300-00000D000000}">
      <text>
        <r>
          <rPr>
            <sz val="11"/>
            <color theme="1"/>
            <rFont val="Calibri"/>
            <family val="2"/>
            <scheme val="minor"/>
          </rPr>
          <t>Layoff Cost
Unit: $
Layoffs × LayoffCost.</t>
        </r>
      </text>
    </comment>
    <comment ref="N1" authorId="0" shapeId="0" xr:uid="{00000000-0006-0000-0300-00000E000000}">
      <text>
        <r>
          <rPr>
            <sz val="11"/>
            <color theme="1"/>
            <rFont val="Calibri"/>
            <family val="2"/>
            <scheme val="minor"/>
          </rPr>
          <t>Holding Cost
Unit: $
Ending Inventory × HoldCost.</t>
        </r>
      </text>
    </comment>
    <comment ref="O1" authorId="0" shapeId="0" xr:uid="{00000000-0006-0000-0300-00000F000000}">
      <text>
        <r>
          <rPr>
            <sz val="11"/>
            <color theme="1"/>
            <rFont val="Calibri"/>
            <family val="2"/>
            <scheme val="minor"/>
          </rPr>
          <t>Backorder Cost
Unit: $
Ending Backorders × BackorderCost.</t>
        </r>
      </text>
    </comment>
    <comment ref="P1" authorId="0" shapeId="0" xr:uid="{00000000-0006-0000-0300-000010000000}">
      <text>
        <r>
          <rPr>
            <sz val="11"/>
            <color theme="1"/>
            <rFont val="Calibri"/>
            <family val="2"/>
            <scheme val="minor"/>
          </rPr>
          <t>Total Cost
Unit: $
Labor + Hiring + Layoff + Holding + Backorder.</t>
        </r>
      </text>
    </comment>
    <comment ref="S2" authorId="0" shapeId="0" xr:uid="{00000000-0006-0000-0300-000011000000}">
      <text>
        <r>
          <rPr>
            <sz val="11"/>
            <color theme="1"/>
            <rFont val="Calibri"/>
            <family val="2"/>
            <scheme val="minor"/>
          </rPr>
          <t>Capacity per worker
BottlesPerHour × HoursPerDay × DaysPerMonth.</t>
        </r>
      </text>
    </comment>
    <comment ref="S3" authorId="0" shapeId="0" xr:uid="{00000000-0006-0000-0300-000012000000}">
      <text>
        <r>
          <rPr>
            <sz val="11"/>
            <color theme="1"/>
            <rFont val="Calibri"/>
            <family val="2"/>
            <scheme val="minor"/>
          </rPr>
          <t>Ending inventory target (December)
=EndTarget (the inventory each month should end with).</t>
        </r>
      </text>
    </comment>
    <comment ref="S4" authorId="0" shapeId="0" xr:uid="{00000000-0006-0000-0300-000013000000}">
      <text>
        <r>
          <rPr>
            <sz val="11"/>
            <color theme="1"/>
            <rFont val="Calibri"/>
            <family val="2"/>
            <scheme val="minor"/>
          </rPr>
          <t>Total annual demand
SUM of the twelve Demand cells.</t>
        </r>
      </text>
    </comment>
    <comment ref="S5" authorId="0" shapeId="0" xr:uid="{00000000-0006-0000-0300-000014000000}">
      <text>
        <r>
          <rPr>
            <sz val="11"/>
            <color theme="1"/>
            <rFont val="Calibri"/>
            <family val="2"/>
            <scheme val="minor"/>
          </rPr>
          <t>Level production per month
(Total demand + ending inventory target − BeginInv) ÷ 12.</t>
        </r>
      </text>
    </comment>
    <comment ref="S6" authorId="0" shapeId="0" xr:uid="{00000000-0006-0000-0300-000015000000}">
      <text>
        <r>
          <rPr>
            <sz val="11"/>
            <color theme="1"/>
            <rFont val="Calibri"/>
            <family val="2"/>
            <scheme val="minor"/>
          </rPr>
          <t>Level workforce
ROUNDUP(Level production ÷ capacity per worker, 0).</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Aggregate Anxiety</author>
  </authors>
  <commentList>
    <comment ref="A1" authorId="0" shapeId="0" xr:uid="{00000000-0006-0000-0400-000001000000}">
      <text>
        <r>
          <rPr>
            <sz val="11"/>
            <color theme="1"/>
            <rFont val="Calibri"/>
            <family val="2"/>
            <scheme val="minor"/>
          </rPr>
          <t>Month</t>
        </r>
      </text>
    </comment>
    <comment ref="B1" authorId="0" shapeId="0" xr:uid="{00000000-0006-0000-0400-000002000000}">
      <text>
        <r>
          <rPr>
            <sz val="11"/>
            <color theme="1"/>
            <rFont val="Calibri"/>
            <family val="2"/>
            <scheme val="minor"/>
          </rPr>
          <t>Demand
Unit: bottles</t>
        </r>
      </text>
    </comment>
    <comment ref="C1" authorId="0" shapeId="0" xr:uid="{00000000-0006-0000-0400-000003000000}">
      <text>
        <r>
          <rPr>
            <sz val="11"/>
            <color theme="1"/>
            <rFont val="Calibri"/>
            <family val="2"/>
            <scheme val="minor"/>
          </rPr>
          <t>Beginning Inventory
Unit: bottles
January = BeginInv. Later months = last month's Ending Inventory.</t>
        </r>
      </text>
    </comment>
    <comment ref="D1" authorId="0" shapeId="0" xr:uid="{00000000-0006-0000-0400-000004000000}">
      <text>
        <r>
          <rPr>
            <sz val="11"/>
            <color theme="1"/>
            <rFont val="Calibri"/>
            <family val="2"/>
            <scheme val="minor"/>
          </rPr>
          <t>Beginning Backorders
Unit: bottles
January = 0. Later months = last month's Ending Backorders.</t>
        </r>
      </text>
    </comment>
    <comment ref="E1" authorId="0" shapeId="0" xr:uid="{00000000-0006-0000-0400-000005000000}">
      <text>
        <r>
          <rPr>
            <sz val="11"/>
            <color theme="1"/>
            <rFont val="Calibri"/>
            <family val="2"/>
            <scheme val="minor"/>
          </rPr>
          <t>Workers ✎
Unit: workers (your decision)
your decision (whole workers).</t>
        </r>
      </text>
    </comment>
    <comment ref="F1" authorId="0" shapeId="0" xr:uid="{00000000-0006-0000-0400-000006000000}">
      <text>
        <r>
          <rPr>
            <sz val="11"/>
            <color theme="1"/>
            <rFont val="Calibri"/>
            <family val="2"/>
            <scheme val="minor"/>
          </rPr>
          <t>Regular Capacity
Unit: bottles
Workers × capacity per worker.</t>
        </r>
      </text>
    </comment>
    <comment ref="G1" authorId="0" shapeId="0" xr:uid="{00000000-0006-0000-0400-000007000000}">
      <text>
        <r>
          <rPr>
            <sz val="11"/>
            <color theme="1"/>
            <rFont val="Calibri"/>
            <family val="2"/>
            <scheme val="minor"/>
          </rPr>
          <t>Regular Production ✎
Unit: bottles (your decision)
your decision.</t>
        </r>
      </text>
    </comment>
    <comment ref="H1" authorId="0" shapeId="0" xr:uid="{00000000-0006-0000-0400-000008000000}">
      <text>
        <r>
          <rPr>
            <sz val="11"/>
            <color theme="1"/>
            <rFont val="Calibri"/>
            <family val="2"/>
            <scheme val="minor"/>
          </rPr>
          <t>Overtime Production ✎
Unit: bottles (your decision)</t>
        </r>
      </text>
    </comment>
    <comment ref="I1" authorId="0" shapeId="0" xr:uid="{00000000-0006-0000-0400-000009000000}">
      <text>
        <r>
          <rPr>
            <sz val="11"/>
            <color theme="1"/>
            <rFont val="Calibri"/>
            <family val="2"/>
            <scheme val="minor"/>
          </rPr>
          <t>Subcontract Production ✎
Unit: bottles (your decision)</t>
        </r>
      </text>
    </comment>
    <comment ref="J1" authorId="0" shapeId="0" xr:uid="{00000000-0006-0000-0400-00000A000000}">
      <text>
        <r>
          <rPr>
            <sz val="11"/>
            <color theme="1"/>
            <rFont val="Calibri"/>
            <family val="2"/>
            <scheme val="minor"/>
          </rPr>
          <t>Total Production
Unit: bottles
Regular + Overtime + Subcontract production.</t>
        </r>
      </text>
    </comment>
    <comment ref="K1" authorId="0" shapeId="0" xr:uid="{00000000-0006-0000-0400-00000B000000}">
      <text>
        <r>
          <rPr>
            <sz val="11"/>
            <color theme="1"/>
            <rFont val="Calibri"/>
            <family val="2"/>
            <scheme val="minor"/>
          </rPr>
          <t>Hires
Unit: workers
MAX(0, Workers − last month's Workers). January compares with StartWorkers.</t>
        </r>
      </text>
    </comment>
    <comment ref="L1" authorId="0" shapeId="0" xr:uid="{00000000-0006-0000-0400-00000C000000}">
      <text>
        <r>
          <rPr>
            <sz val="11"/>
            <color theme="1"/>
            <rFont val="Calibri"/>
            <family val="2"/>
            <scheme val="minor"/>
          </rPr>
          <t>Layoffs
Unit: workers
MAX(0, last month's Workers − Workers). January compares with StartWorkers.</t>
        </r>
      </text>
    </comment>
    <comment ref="M1" authorId="0" shapeId="0" xr:uid="{00000000-0006-0000-0400-00000D000000}">
      <text>
        <r>
          <rPr>
            <sz val="11"/>
            <color theme="1"/>
            <rFont val="Calibri"/>
            <family val="2"/>
            <scheme val="minor"/>
          </rPr>
          <t>Ending Inventory
Unit: bottles
MAX(0, Beginning Inventory + Total Production − Beginning Backorders − Demand). Inventory is never negative.</t>
        </r>
      </text>
    </comment>
    <comment ref="N1" authorId="0" shapeId="0" xr:uid="{00000000-0006-0000-0400-00000E000000}">
      <text>
        <r>
          <rPr>
            <sz val="11"/>
            <color theme="1"/>
            <rFont val="Calibri"/>
            <family val="2"/>
            <scheme val="minor"/>
          </rPr>
          <t>Ending Backorders
Unit: bottles
MAX(0, Demand + Beginning Backorders − Beginning Inventory − Total Production). Unfilled orders carried to next month.</t>
        </r>
      </text>
    </comment>
    <comment ref="O1" authorId="0" shapeId="0" xr:uid="{00000000-0006-0000-0400-00000F000000}">
      <text>
        <r>
          <rPr>
            <sz val="11"/>
            <color theme="1"/>
            <rFont val="Calibri"/>
            <family val="2"/>
            <scheme val="minor"/>
          </rPr>
          <t>Labor Cost
Unit: $
Workers × LaborCost (workers are paid whether or not they are busy).</t>
        </r>
      </text>
    </comment>
    <comment ref="P1" authorId="0" shapeId="0" xr:uid="{00000000-0006-0000-0400-000010000000}">
      <text>
        <r>
          <rPr>
            <sz val="11"/>
            <color theme="1"/>
            <rFont val="Calibri"/>
            <family val="2"/>
            <scheme val="minor"/>
          </rPr>
          <t>Hiring Cost
Unit: $
Hires × HireCost.</t>
        </r>
      </text>
    </comment>
    <comment ref="Q1" authorId="0" shapeId="0" xr:uid="{00000000-0006-0000-0400-000011000000}">
      <text>
        <r>
          <rPr>
            <sz val="11"/>
            <color theme="1"/>
            <rFont val="Calibri"/>
            <family val="2"/>
            <scheme val="minor"/>
          </rPr>
          <t>Layoff Cost
Unit: $
Layoffs × LayoffCost.</t>
        </r>
      </text>
    </comment>
    <comment ref="R1" authorId="0" shapeId="0" xr:uid="{00000000-0006-0000-0400-000012000000}">
      <text>
        <r>
          <rPr>
            <sz val="11"/>
            <color theme="1"/>
            <rFont val="Calibri"/>
            <family val="2"/>
            <scheme val="minor"/>
          </rPr>
          <t>Overtime Cost
Unit: $
Overtime Production × OTCost.</t>
        </r>
      </text>
    </comment>
    <comment ref="S1" authorId="0" shapeId="0" xr:uid="{00000000-0006-0000-0400-000013000000}">
      <text>
        <r>
          <rPr>
            <sz val="11"/>
            <color theme="1"/>
            <rFont val="Calibri"/>
            <family val="2"/>
            <scheme val="minor"/>
          </rPr>
          <t>Subcontract Cost
Unit: $
Subcontract Production × SubCost.</t>
        </r>
      </text>
    </comment>
    <comment ref="T1" authorId="0" shapeId="0" xr:uid="{00000000-0006-0000-0400-000014000000}">
      <text>
        <r>
          <rPr>
            <sz val="11"/>
            <color theme="1"/>
            <rFont val="Calibri"/>
            <family val="2"/>
            <scheme val="minor"/>
          </rPr>
          <t>Holding Cost
Unit: $
Ending Inventory × HoldCost.</t>
        </r>
      </text>
    </comment>
    <comment ref="U1" authorId="0" shapeId="0" xr:uid="{00000000-0006-0000-0400-000015000000}">
      <text>
        <r>
          <rPr>
            <sz val="11"/>
            <color theme="1"/>
            <rFont val="Calibri"/>
            <family val="2"/>
            <scheme val="minor"/>
          </rPr>
          <t>Backorder Cost
Unit: $
Ending Backorders × BackorderCost.</t>
        </r>
      </text>
    </comment>
    <comment ref="V1" authorId="0" shapeId="0" xr:uid="{00000000-0006-0000-0400-000016000000}">
      <text>
        <r>
          <rPr>
            <sz val="11"/>
            <color theme="1"/>
            <rFont val="Calibri"/>
            <family val="2"/>
            <scheme val="minor"/>
          </rPr>
          <t>Total Cost
Unit: $
Labor + Hiring + Layoff + Overtime + Subcontract + Holding + Backorder.</t>
        </r>
      </text>
    </comment>
    <comment ref="Y2" authorId="0" shapeId="0" xr:uid="{00000000-0006-0000-0400-000017000000}">
      <text>
        <r>
          <rPr>
            <sz val="11"/>
            <color theme="1"/>
            <rFont val="Calibri"/>
            <family val="2"/>
            <scheme val="minor"/>
          </rPr>
          <t>Capacity per worker
BottlesPerHour × HoursPerDay × DaysPerMonth.</t>
        </r>
      </text>
    </comment>
    <comment ref="Y3" authorId="0" shapeId="0" xr:uid="{00000000-0006-0000-0400-000018000000}">
      <text>
        <r>
          <rPr>
            <sz val="11"/>
            <color theme="1"/>
            <rFont val="Calibri"/>
            <family val="2"/>
            <scheme val="minor"/>
          </rPr>
          <t>Overtime limit per worker
Capacity per worker × OTLimitPct.</t>
        </r>
      </text>
    </comment>
  </commentList>
</comments>
</file>

<file path=xl/sharedStrings.xml><?xml version="1.0" encoding="utf-8"?>
<sst xmlns="http://schemas.openxmlformats.org/spreadsheetml/2006/main" count="391" uniqueCount="275">
  <si>
    <t>Aggregate Anxiety: Aggregate Planning in Excel</t>
  </si>
  <si>
    <t>Juicetification Inc. — aggregate production planning, done in Excel.</t>
  </si>
  <si>
    <t>Student name</t>
  </si>
  <si>
    <t>Test Student</t>
  </si>
  <si>
    <t>This workbook was made for you. Your demand and numbers differ from your classmates', so upload only your own file.</t>
  </si>
  <si>
    <t>Student ID</t>
  </si>
  <si>
    <t>S1</t>
  </si>
  <si>
    <t>Scenario number</t>
  </si>
  <si>
    <t>What you will do</t>
  </si>
  <si>
    <t>1. Scenario</t>
  </si>
  <si>
    <t>Read your demand forecast and the given data. Every given number has an Excel NAME you can use in formulas (e.g. LaborCost).</t>
  </si>
  <si>
    <t>2. Chase Plan</t>
  </si>
  <si>
    <t>Fill the planning cells (column S), then every blue cell for January–December, then the totals in row 14. Use formulas only.</t>
  </si>
  <si>
    <t>3. Level Plan</t>
  </si>
  <si>
    <t>Same as the chase plan, but production and workers are constant: work them out in the planning cells first (S2:S6).</t>
  </si>
  <si>
    <t>4. Summary</t>
  </si>
  <si>
    <t>Link each plan's totals, find the cheaper plan with IF, then choose and justify your recommendation in your own words.</t>
  </si>
  <si>
    <t>5. Hybrid Plan</t>
  </si>
  <si>
    <t>Optional challenge: choose workers, overtime and subcontracting (green cells) and calculate the rest. Try to beat both plans.</t>
  </si>
  <si>
    <t>6. Check</t>
  </si>
  <si>
    <t>Save as .xlsx and upload it in the app. It tells you which cells to fix. Fix, save, upload again — as often as you like.</t>
  </si>
  <si>
    <t>Colour key</t>
  </si>
  <si>
    <t>Given data — do not change</t>
  </si>
  <si>
    <t>Your formula goes here</t>
  </si>
  <si>
    <t>Your decision (Hybrid Plan only)</t>
  </si>
  <si>
    <t>Totals row — your SUM formula goes here</t>
  </si>
  <si>
    <t>The rules of the model</t>
  </si>
  <si>
    <t>Your company carries no safety stock: the chase plan uses up the beginning inventory in January and then ends each month with 0 bottles; the level plan aims to end December at 0.</t>
  </si>
  <si>
    <t>Column</t>
  </si>
  <si>
    <t>Chase plan</t>
  </si>
  <si>
    <t>Level plan (where different)</t>
  </si>
  <si>
    <t>Beginning Inventory</t>
  </si>
  <si>
    <t>January = BeginInv. Later months = last month's Ending Inventory.</t>
  </si>
  <si>
    <t>same</t>
  </si>
  <si>
    <t>Beginning Backorders</t>
  </si>
  <si>
    <t>January = 0. Later months = last month's Ending Backorders.</t>
  </si>
  <si>
    <t>Production</t>
  </si>
  <si>
    <t>MAX(0, Demand + EndTarget − Beginning Inventory + Beginning Backorders): make exactly what this month needs.</t>
  </si>
  <si>
    <t>the level production per month from your planning cell (same every month).</t>
  </si>
  <si>
    <t>Workers</t>
  </si>
  <si>
    <t>ROUNDUP(Production ÷ capacity per worker, 0): whole workers, so round UP.</t>
  </si>
  <si>
    <t>the level workforce from your planning cell (same every month).</t>
  </si>
  <si>
    <t>Hires</t>
  </si>
  <si>
    <t>MAX(0, Workers − last month's Workers). January compares with StartWorkers.</t>
  </si>
  <si>
    <t>Layoffs</t>
  </si>
  <si>
    <t>MAX(0, last month's Workers − Workers). January compares with StartWorkers.</t>
  </si>
  <si>
    <t>Ending Inventory</t>
  </si>
  <si>
    <t>MAX(0, Beginning Inventory + Production − Beginning Backorders − Demand). Inventory is never negative.</t>
  </si>
  <si>
    <t>Ending Backorders</t>
  </si>
  <si>
    <t>MAX(0, Demand + Beginning Backorders − Beginning Inventory − Production). Unfilled orders carried to next month.</t>
  </si>
  <si>
    <t>Labor Cost</t>
  </si>
  <si>
    <t>Workers × LaborCost (workers are paid whether or not they are busy).</t>
  </si>
  <si>
    <t>Hiring Cost</t>
  </si>
  <si>
    <t>Hires × HireCost.</t>
  </si>
  <si>
    <t>Layoff Cost</t>
  </si>
  <si>
    <t>Layoffs × LayoffCost.</t>
  </si>
  <si>
    <t>Holding Cost</t>
  </si>
  <si>
    <t>Ending Inventory × HoldCost.</t>
  </si>
  <si>
    <t>Backorder Cost</t>
  </si>
  <si>
    <t>Ending Backorders × BackorderCost.</t>
  </si>
  <si>
    <t>Total Cost</t>
  </si>
  <si>
    <t>Labor + Hiring + Layoff + Holding + Backorder.</t>
  </si>
  <si>
    <t>Row 14 totals</t>
  </si>
  <si>
    <t>SUM of the twelve monthly values above it (row 14).</t>
  </si>
  <si>
    <t>Stuck on Excel itself? See the Excel Help sheet.</t>
  </si>
  <si>
    <t>Scenario: your given data</t>
  </si>
  <si>
    <t>Use the Excel NAMES in column G in your formulas, e.g. =F2*LaborCost. Never retype these numbers.</t>
  </si>
  <si>
    <t>Demand forecast</t>
  </si>
  <si>
    <t>Given data and their Excel names</t>
  </si>
  <si>
    <t>Month</t>
  </si>
  <si>
    <t>Demand (bottles)</t>
  </si>
  <si>
    <t>Given data</t>
  </si>
  <si>
    <t>Value</t>
  </si>
  <si>
    <t>Excel name</t>
  </si>
  <si>
    <t>Unit</t>
  </si>
  <si>
    <t>January</t>
  </si>
  <si>
    <t>Inventory on hand before January</t>
  </si>
  <si>
    <t>BeginInv</t>
  </si>
  <si>
    <t>bottles</t>
  </si>
  <si>
    <t>February</t>
  </si>
  <si>
    <t>Safety-stock quantity</t>
  </si>
  <si>
    <t>SafetyStock</t>
  </si>
  <si>
    <t>March</t>
  </si>
  <si>
    <t>Inventory each chase month aims to end with (and the level plan's December target)</t>
  </si>
  <si>
    <t>EndTarget</t>
  </si>
  <si>
    <t>April</t>
  </si>
  <si>
    <t>Storage capacity (most bottles you can hold)</t>
  </si>
  <si>
    <t>MaxInventory</t>
  </si>
  <si>
    <t>May</t>
  </si>
  <si>
    <t>Workers employed before January</t>
  </si>
  <si>
    <t>StartWorkers</t>
  </si>
  <si>
    <t>workers</t>
  </si>
  <si>
    <t>June</t>
  </si>
  <si>
    <t>Output of one worker per hour</t>
  </si>
  <si>
    <t>BottlesPerHour</t>
  </si>
  <si>
    <t>bottles/hour</t>
  </si>
  <si>
    <t>July</t>
  </si>
  <si>
    <t>Paid hours per worker per day</t>
  </si>
  <si>
    <t>HoursPerDay</t>
  </si>
  <si>
    <t>hours/day</t>
  </si>
  <si>
    <t>August</t>
  </si>
  <si>
    <t>Working days per month</t>
  </si>
  <si>
    <t>DaysPerMonth</t>
  </si>
  <si>
    <t>days/month</t>
  </si>
  <si>
    <t>September</t>
  </si>
  <si>
    <t>Regular labor cost per worker per month</t>
  </si>
  <si>
    <t>LaborCost</t>
  </si>
  <si>
    <t>$/worker/month</t>
  </si>
  <si>
    <t>October</t>
  </si>
  <si>
    <t>Cost to hire one worker</t>
  </si>
  <si>
    <t>HireCost</t>
  </si>
  <si>
    <t>$/worker</t>
  </si>
  <si>
    <t>November</t>
  </si>
  <si>
    <t>Cost to lay off one worker</t>
  </si>
  <si>
    <t>LayoffCost</t>
  </si>
  <si>
    <t>December</t>
  </si>
  <si>
    <t>Cost to hold one bottle for one month</t>
  </si>
  <si>
    <t>HoldCost</t>
  </si>
  <si>
    <t>$/bottle/month</t>
  </si>
  <si>
    <t>Cost of one bottle backordered for one month</t>
  </si>
  <si>
    <t>BackorderCost</t>
  </si>
  <si>
    <t>Overtime limit as a share of regular capacity</t>
  </si>
  <si>
    <t>OTLimitPct</t>
  </si>
  <si>
    <t>fraction</t>
  </si>
  <si>
    <t>Overtime cost per bottle (extra, on top of labor)</t>
  </si>
  <si>
    <t>OTCost</t>
  </si>
  <si>
    <t>$/bottle</t>
  </si>
  <si>
    <t>Subcontracting cost per bottle</t>
  </si>
  <si>
    <t>SubCost</t>
  </si>
  <si>
    <t>Most bottles you can subcontract per month</t>
  </si>
  <si>
    <t>SubCapacity</t>
  </si>
  <si>
    <t>bottles/month</t>
  </si>
  <si>
    <t>Demand</t>
  </si>
  <si>
    <t>Planning calculations</t>
  </si>
  <si>
    <t>Your formula</t>
  </si>
  <si>
    <t>Capacity per worker (bottles/worker/month)</t>
  </si>
  <si>
    <t>Ending inventory target (bottles)</t>
  </si>
  <si>
    <t>Tip: every month uses the SAME capacity cell, so lock it: $S$2.</t>
  </si>
  <si>
    <t>Do January first (it uses BeginInv and StartWorkers),</t>
  </si>
  <si>
    <t>then February, then fill February down to December.</t>
  </si>
  <si>
    <t>Red backorders = customers waiting. Amber inventory = over storage capacity.</t>
  </si>
  <si>
    <t>Total</t>
  </si>
  <si>
    <t>Ending inventory target (December) (bottles)</t>
  </si>
  <si>
    <t>Total annual demand (bottles)</t>
  </si>
  <si>
    <t>Level production per month (bottles/month)</t>
  </si>
  <si>
    <t>Level workforce (workers)</t>
  </si>
  <si>
    <t>Tip: every month uses the SAME level production and workforce:</t>
  </si>
  <si>
    <t>=$S$5 and =$S$6 (the $ signs keep them fixed when you fill down).</t>
  </si>
  <si>
    <t>Hires and Layoffs happen only in January.</t>
  </si>
  <si>
    <t>Workers ✎</t>
  </si>
  <si>
    <t>Regular Capacity</t>
  </si>
  <si>
    <t>Regular Production ✎</t>
  </si>
  <si>
    <t>Overtime Production ✎</t>
  </si>
  <si>
    <t>Subcontract Production ✎</t>
  </si>
  <si>
    <t>Total Production</t>
  </si>
  <si>
    <t>Overtime Cost</t>
  </si>
  <si>
    <t>Subcontract Cost</t>
  </si>
  <si>
    <t>Overtime limit per worker (bottles/worker/month)</t>
  </si>
  <si>
    <t>Green cells are YOUR decisions (type numbers or formulas).</t>
  </si>
  <si>
    <t>Everything else is calculated, exactly like the other plans.</t>
  </si>
  <si>
    <t>Limits: overtime ≤ OTLimitPct of regular capacity and only once regular</t>
  </si>
  <si>
    <t>capacity is full; subcontracting ≤ SubCapacity; inventory ≤ MaxInventory;</t>
  </si>
  <si>
    <t>no backorders left in December; December inventory ≥ EndTarget.</t>
  </si>
  <si>
    <t>Summary: compare the plans and recommend one</t>
  </si>
  <si>
    <t>Measure</t>
  </si>
  <si>
    <t>Chase</t>
  </si>
  <si>
    <t>Level</t>
  </si>
  <si>
    <t>Hybrid (optional)</t>
  </si>
  <si>
    <t>How to calculate it</t>
  </si>
  <si>
    <t>Total labor cost</t>
  </si>
  <si>
    <t>link to the plan's Labor Cost total (row 14)</t>
  </si>
  <si>
    <t>Total hiring cost</t>
  </si>
  <si>
    <t>link to the Hiring Cost total</t>
  </si>
  <si>
    <t>Total layoff cost</t>
  </si>
  <si>
    <t>link to the Layoff Cost total</t>
  </si>
  <si>
    <t>Total overtime cost</t>
  </si>
  <si>
    <t>n/a</t>
  </si>
  <si>
    <t>hybrid only</t>
  </si>
  <si>
    <t>Total subcontract cost</t>
  </si>
  <si>
    <t>Total holding cost</t>
  </si>
  <si>
    <t>link to the Holding Cost total</t>
  </si>
  <si>
    <t>Total backorder cost</t>
  </si>
  <si>
    <t>link to the Backorder Cost total</t>
  </si>
  <si>
    <t>TOTAL PLAN COST</t>
  </si>
  <si>
    <t>link to the Total Cost total</t>
  </si>
  <si>
    <t>Total workers hired</t>
  </si>
  <si>
    <t>link to the Hires total</t>
  </si>
  <si>
    <t>Total workers laid off</t>
  </si>
  <si>
    <t>link to the Layoffs total</t>
  </si>
  <si>
    <t>Largest workforce</t>
  </si>
  <si>
    <t>MAX of the Workers column</t>
  </si>
  <si>
    <t>Largest ending inventory (storage needed)</t>
  </si>
  <si>
    <t>MAX of the Ending Inventory column</t>
  </si>
  <si>
    <t>Months ending with backorders</t>
  </si>
  <si>
    <t>COUNTIF(Ending Backorders column,"&gt;0")</t>
  </si>
  <si>
    <t>Lower-cost plan: Chase or Level?</t>
  </si>
  <si>
    <t>IF(chase total cost &lt; level total cost, "Chase", "Level").</t>
  </si>
  <si>
    <t>Savings of the lower-cost plan ($)</t>
  </si>
  <si>
    <t>ABS(chase total cost − level total cost).</t>
  </si>
  <si>
    <t>Your recommendation</t>
  </si>
  <si>
    <t>Pick from the drop-down list.</t>
  </si>
  <si>
    <t>Why? Justify it in your own words.</t>
  </si>
  <si>
    <t>ANSWER KEY. The recommendation and its justification are the student's own judgement and are graded by the instructor, not by the checker. ANSWER KEY. The recommendation and its justification are the student's own judgement and are graded by the instructor, not by the checker. ANSWER KEY. The recommendation and its justification are the student's own judgement and are graded by the instructor, not by the checker.</t>
  </si>
  <si>
    <t>At least 50 words. Use your numbers: cost, workforce changes, inventory, backorders, and the risks your plan takes.</t>
  </si>
  <si>
    <t>Excel help</t>
  </si>
  <si>
    <t>Habits that make this easy</t>
  </si>
  <si>
    <t>Start every calculation with =</t>
  </si>
  <si>
    <t>Type =C2+E2 rather than the number you worked out. The checker wants formulas, because a formula updates itself when an input changes.</t>
  </si>
  <si>
    <t>Fill down</t>
  </si>
  <si>
    <t>Write February's formula once, select it and drag the small square at the bottom-right corner down to December (or double-click it).</t>
  </si>
  <si>
    <t>Absolute references with $</t>
  </si>
  <si>
    <t>When every month must point at ONE cell (for example capacity per worker in $S$2), lock it with $ signs or use a name. Without the $, filling down slides the reference onto empty cells.</t>
  </si>
  <si>
    <t>Use the names</t>
  </si>
  <si>
    <t>Every given number has a name (LaborCost, HireCost, BeginInv, ...). =F2*LaborCost is easier to read and check than =F2*Scenario!$B$22.</t>
  </si>
  <si>
    <t>Link, don't retype</t>
  </si>
  <si>
    <t>On the Summary sheet, point at the plan totals: ='Chase Plan'!P14. If your plan changes, the summary follows.</t>
  </si>
  <si>
    <t>Save, then upload</t>
  </si>
  <si>
    <t>Save the file as .xlsx in Excel (or Google Sheets → Download → .xlsx) so the calculated values are stored. Then upload it in the app.</t>
  </si>
  <si>
    <t>Functions you will use</t>
  </si>
  <si>
    <t>SUM</t>
  </si>
  <si>
    <t>=SUM(B2:B13)</t>
  </si>
  <si>
    <t>adds a range: total demand, total cost</t>
  </si>
  <si>
    <t>MAX</t>
  </si>
  <si>
    <t>=MAX(0, C2+E2-D2-B2)</t>
  </si>
  <si>
    <t>the larger value: keeps inventory from going negative</t>
  </si>
  <si>
    <t>MIN</t>
  </si>
  <si>
    <t>=MIN(B2:B13)</t>
  </si>
  <si>
    <t>the smallest value</t>
  </si>
  <si>
    <t>ROUNDUP</t>
  </si>
  <si>
    <t>=ROUNDUP(E2/$S$2, 0)</t>
  </si>
  <si>
    <t>rounds up: 10.2 workers means you need 11</t>
  </si>
  <si>
    <t>IF</t>
  </si>
  <si>
    <t>=IF(B11&lt;C11,"Chase","Level")</t>
  </si>
  <si>
    <t>picks one of two results based on a test</t>
  </si>
  <si>
    <t>COUNTIF</t>
  </si>
  <si>
    <t>=COUNTIF(J2:J13,"&gt;0")</t>
  </si>
  <si>
    <t>counts the cells that meet a condition</t>
  </si>
  <si>
    <t>ABS</t>
  </si>
  <si>
    <t>=ABS(B11-C11)</t>
  </si>
  <si>
    <t>size of a difference, without the minus sign</t>
  </si>
  <si>
    <t>What an error means</t>
  </si>
  <si>
    <t>#DIV/0!</t>
  </si>
  <si>
    <t>you divided by zero or by an empty cell — check what is right of the /</t>
  </si>
  <si>
    <t>#NAME?</t>
  </si>
  <si>
    <t>Excel does not know a word in the formula — check the spelling of a name or function (ROUNDUP, LaborCost)</t>
  </si>
  <si>
    <t>#REF!</t>
  </si>
  <si>
    <t>the formula points at a cell that was deleted — undo (Ctrl+Z) and retype</t>
  </si>
  <si>
    <t>#VALUE!</t>
  </si>
  <si>
    <t>text where a number was expected — a cell holds words or a stray space</t>
  </si>
  <si>
    <t>####</t>
  </si>
  <si>
    <t>not an error: the column is too narrow; widen it</t>
  </si>
  <si>
    <t>Practice: absolute references</t>
  </si>
  <si>
    <t>Holding cost = bottles × the ONE rate in B30. Type a formula in C31 and fill it down. Without a $ sign, the rows below show 0 — that is the lesson.</t>
  </si>
  <si>
    <t>Rate ($/bottle)</t>
  </si>
  <si>
    <t>Month 1</t>
  </si>
  <si>
    <t>Month 2</t>
  </si>
  <si>
    <t>Month 3</t>
  </si>
  <si>
    <t>Month 4</t>
  </si>
  <si>
    <t>Month 5</t>
  </si>
  <si>
    <t>Month 6</t>
  </si>
  <si>
    <t>app</t>
  </si>
  <si>
    <t>aggregate-anxiety-excel</t>
  </si>
  <si>
    <t>schema</t>
  </si>
  <si>
    <t>model_version</t>
  </si>
  <si>
    <t>4.0.0</t>
  </si>
  <si>
    <t>seed</t>
  </si>
  <si>
    <t>config_hash</t>
  </si>
  <si>
    <t>fdf36332bcdfa8fc</t>
  </si>
  <si>
    <t>student_id</t>
  </si>
  <si>
    <t>student_name</t>
  </si>
  <si>
    <t>game</t>
  </si>
  <si>
    <t>created_utc</t>
  </si>
  <si>
    <t>2026-10-19T18:10:32Z</t>
  </si>
  <si>
    <t>workbook_id</t>
  </si>
  <si>
    <t>82e59730b2ae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</si>
</sst>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
    <numFmt numFmtId="165" formatCode="#,##0.##"/>
    <numFmt numFmtId="166" formatCode="\$0.00"/>
  </numFmts>
  <fonts count="8" x14ac:knownFonts="1">
    <font>
      <sz val="11"/>
      <color theme="1"/>
      <name val="Calibri"/>
      <family val="2"/>
      <scheme val="minor"/>
    </font>
    <font>
      <b/>
      <sz val="16"/>
      <color rgb="FF1F3864"/>
      <name val="Calibri"/>
    </font>
    <font>
      <i/>
      <sz val="11"/>
      <color rgb="FF595959"/>
      <name val="Calibri"/>
    </font>
    <font>
      <b/>
      <sz val="11"/>
      <name val="Calibri"/>
    </font>
    <font>
      <sz val="11"/>
      <color rgb="FF1F4E9E"/>
      <name val="Calibri"/>
    </font>
    <font>
      <b/>
      <sz val="12"/>
      <color rgb="FF1F3864"/>
      <name val="Calibri"/>
    </font>
    <font>
      <b/>
      <sz val="11"/>
      <color rgb="FFFFFFFF"/>
      <name val="Calibri"/>
    </font>
    <font>
      <sz val="11"/>
      <color rgb="FF1F3864"/>
      <name val="Consolas"/>
    </font>
  </fonts>
  <fills count="8">
    <fill>
      <patternFill patternType="none"/>
    </fill>
    <fill>
      <patternFill patternType="gray125"/>
    </fill>
    <fill>
      <patternFill patternType="solid">
        <fgColor rgb="FFFFF2CC"/>
      </patternFill>
    </fill>
    <fill>
      <patternFill patternType="solid">
        <fgColor rgb="FFDDEBF7"/>
      </patternFill>
    </fill>
    <fill>
      <patternFill patternType="solid">
        <fgColor rgb="FFE2EFDA"/>
      </patternFill>
    </fill>
    <fill>
      <patternFill patternType="solid">
        <fgColor rgb="FFBDD7EE"/>
      </patternFill>
    </fill>
    <fill>
      <patternFill patternType="solid">
        <fgColor rgb="FF1F3864"/>
      </patternFill>
    </fill>
    <fill>
      <patternFill patternType="solid">
        <fgColor rgb="FFEDEDED"/>
      </patternFill>
    </fill>
  </fills>
  <borders count="2">
    <border>
      <left/>
      <right/>
      <top/>
      <bottom/>
      <diagonal/>
    </border>
    <border>
      <left style="thin">
        <color rgb="FFA6A6A6"/>
      </left>
      <right style="thin">
        <color rgb="FFA6A6A6"/>
      </right>
      <top style="thin">
        <color rgb="FFA6A6A6"/>
      </top>
      <bottom style="thin">
        <color rgb="FFA6A6A6"/>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1" fontId="4" fillId="2" borderId="1" xfId="0" applyNumberFormat="1" applyFont="1" applyFill="1" applyBorder="1" applyAlignment="1">
      <alignment horizontal="left"/>
    </xf>
    <xf numFmtId="0" fontId="5" fillId="0" borderId="0" xfId="0" applyFont="1"/>
    <xf numFmtId="0" fontId="3" fillId="0" borderId="0" xfId="0" applyFont="1" applyAlignment="1">
      <alignment vertical="top" wrapText="1"/>
    </xf>
    <xf numFmtId="0" fontId="0" fillId="0" borderId="0" xfId="0" applyAlignment="1">
      <alignment vertical="top" wrapText="1"/>
    </xf>
    <xf numFmtId="0" fontId="0" fillId="2" borderId="1" xfId="0" applyFill="1" applyBorder="1"/>
    <xf numFmtId="0" fontId="0" fillId="3" borderId="1" xfId="0" applyFill="1" applyBorder="1"/>
    <xf numFmtId="0" fontId="0" fillId="4" borderId="1" xfId="0" applyFill="1" applyBorder="1"/>
    <xf numFmtId="0" fontId="0" fillId="5" borderId="1" xfId="0" applyFill="1" applyBorder="1"/>
    <xf numFmtId="0" fontId="6" fillId="6" borderId="0" xfId="0" applyFont="1" applyFill="1"/>
    <xf numFmtId="0" fontId="3" fillId="0" borderId="1" xfId="0" applyFont="1" applyBorder="1" applyAlignment="1">
      <alignment vertical="top" wrapText="1"/>
    </xf>
    <xf numFmtId="0" fontId="0" fillId="0" borderId="1" xfId="0" applyBorder="1" applyAlignment="1">
      <alignment vertical="top" wrapText="1"/>
    </xf>
    <xf numFmtId="0" fontId="3" fillId="0" borderId="1" xfId="0" applyFont="1" applyBorder="1"/>
    <xf numFmtId="0" fontId="0" fillId="0" borderId="1" xfId="0" applyBorder="1"/>
    <xf numFmtId="0" fontId="6" fillId="6" borderId="1" xfId="0" applyFont="1" applyFill="1" applyBorder="1"/>
    <xf numFmtId="3" fontId="4" fillId="2" borderId="1" xfId="0" applyNumberFormat="1" applyFont="1" applyFill="1" applyBorder="1"/>
    <xf numFmtId="0" fontId="7" fillId="0" borderId="1" xfId="0" applyFont="1" applyBorder="1"/>
    <xf numFmtId="164" fontId="4" fillId="2" borderId="1" xfId="0" applyNumberFormat="1" applyFont="1" applyFill="1" applyBorder="1"/>
    <xf numFmtId="9" fontId="4" fillId="2" borderId="1" xfId="0" applyNumberFormat="1" applyFont="1" applyFill="1" applyBorder="1"/>
    <xf numFmtId="0" fontId="6" fillId="6" borderId="1" xfId="0" applyFont="1" applyFill="1" applyBorder="1" applyAlignment="1">
      <alignment horizontal="center" vertical="center" wrapText="1"/>
    </xf>
    <xf numFmtId="3" fontId="0" fillId="3" borderId="1" xfId="0" applyNumberFormat="1" applyFill="1" applyBorder="1" applyProtection="1">
      <protection locked="0"/>
    </xf>
    <xf numFmtId="164" fontId="0" fillId="3" borderId="1" xfId="0" applyNumberFormat="1" applyFill="1" applyBorder="1" applyProtection="1">
      <protection locked="0"/>
    </xf>
    <xf numFmtId="165" fontId="0" fillId="3" borderId="1" xfId="0" applyNumberFormat="1" applyFill="1" applyBorder="1" applyProtection="1">
      <protection locked="0"/>
    </xf>
    <xf numFmtId="0" fontId="3" fillId="5" borderId="1" xfId="0" applyFont="1" applyFill="1" applyBorder="1"/>
    <xf numFmtId="0" fontId="0" fillId="7" borderId="1" xfId="0" applyFill="1" applyBorder="1"/>
    <xf numFmtId="3" fontId="3" fillId="5" borderId="1" xfId="0" applyNumberFormat="1" applyFont="1" applyFill="1" applyBorder="1" applyProtection="1">
      <protection locked="0"/>
    </xf>
    <xf numFmtId="164" fontId="3" fillId="5" borderId="1" xfId="0" applyNumberFormat="1" applyFont="1" applyFill="1" applyBorder="1" applyProtection="1">
      <protection locked="0"/>
    </xf>
    <xf numFmtId="3" fontId="0" fillId="4" borderId="1" xfId="0" applyNumberFormat="1" applyFill="1" applyBorder="1" applyProtection="1">
      <protection locked="0"/>
    </xf>
    <xf numFmtId="0" fontId="0" fillId="7" borderId="1" xfId="0" applyFill="1" applyBorder="1" applyAlignment="1">
      <alignment horizontal="center"/>
    </xf>
    <xf numFmtId="164" fontId="3" fillId="3" borderId="1" xfId="0" applyNumberFormat="1" applyFont="1" applyFill="1" applyBorder="1" applyProtection="1">
      <protection locked="0"/>
    </xf>
    <xf numFmtId="0" fontId="0" fillId="3" borderId="1" xfId="0" applyFill="1" applyBorder="1" applyProtection="1">
      <protection locked="0"/>
    </xf>
    <xf numFmtId="0" fontId="7" fillId="0" borderId="0" xfId="0" applyFont="1"/>
    <xf numFmtId="166" fontId="4" fillId="2" borderId="0" xfId="0" applyNumberFormat="1" applyFont="1" applyFill="1"/>
    <xf numFmtId="3" fontId="4" fillId="2" borderId="0" xfId="0" applyNumberFormat="1" applyFont="1" applyFill="1"/>
    <xf numFmtId="0" fontId="2" fillId="0" borderId="0" xfId="0" applyFont="1" applyAlignment="1">
      <alignment vertical="top" wrapText="1"/>
    </xf>
    <xf numFmtId="0" fontId="0" fillId="0" borderId="0" xfId="0"/>
    <xf numFmtId="0" fontId="0" fillId="0" borderId="0" xfId="0" applyAlignment="1">
      <alignment vertical="top" wrapText="1"/>
    </xf>
    <xf numFmtId="0" fontId="0" fillId="3" borderId="1" xfId="0" applyFill="1" applyBorder="1" applyAlignment="1" applyProtection="1">
      <alignment vertical="top" wrapText="1"/>
      <protection locked="0"/>
    </xf>
  </cellXfs>
  <cellStyles count="1">
    <cellStyle name="Normal" xfId="0" builtinId="0"/>
  </cellStyles>
  <dxfs count="6">
    <dxf>
      <font>
        <color rgb="FF9C0006"/>
      </font>
      <fill>
        <patternFill patternType="solid">
          <bgColor rgb="FFFFC7CE"/>
        </patternFill>
      </fill>
    </dxf>
    <dxf>
      <fill>
        <patternFill patternType="solid">
          <bgColor rgb="FFFFEB9C"/>
        </patternFill>
      </fill>
    </dxf>
    <dxf>
      <font>
        <color rgb="FF9C0006"/>
      </font>
      <fill>
        <patternFill patternType="solid">
          <bgColor rgb="FFFFC7CE"/>
        </patternFill>
      </fill>
    </dxf>
    <dxf>
      <fill>
        <patternFill patternType="solid">
          <bgColor rgb="FFFFEB9C"/>
        </patternFill>
      </fill>
    </dxf>
    <dxf>
      <font>
        <color rgb="FF9C0006"/>
      </font>
      <fill>
        <patternFill patternType="solid">
          <bgColor rgb="FFFFC7CE"/>
        </patternFill>
      </fill>
    </dxf>
    <dxf>
      <fill>
        <patternFill patternType="solid">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Demand vs. production</a:t>
            </a:r>
          </a:p>
        </c:rich>
      </c:tx>
      <c:overlay val="1"/>
    </c:title>
    <c:autoTitleDeleted val="0"/>
    <c:plotArea>
      <c:layout/>
      <c:lineChart>
        <c:grouping val="standard"/>
        <c:varyColors val="1"/>
        <c:ser>
          <c:idx val="0"/>
          <c:order val="0"/>
          <c:tx>
            <c:strRef>
              <c:f>'Chase Plan'!$B$1</c:f>
              <c:strCache>
                <c:ptCount val="1"/>
                <c:pt idx="0">
                  <c:v>Demand</c:v>
                </c:pt>
              </c:strCache>
            </c:strRef>
          </c:tx>
          <c:spPr>
            <a:ln>
              <a:prstDash val="solid"/>
            </a:ln>
          </c:spPr>
          <c:marker>
            <c:symbol val="none"/>
          </c:marker>
          <c:cat>
            <c:strRef>
              <c:f>'Chase Plan'!$A$2:$A$13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'Chase Plan'!$B$2:$B$13</c:f>
              <c:numCache>
                <c:formatCode>#,##0</c:formatCode>
                <c:ptCount val="12"/>
                <c:pt idx="0">
                  <c:v>7000</c:v>
                </c:pt>
                <c:pt idx="1">
                  <c:v>6000</c:v>
                </c:pt>
                <c:pt idx="2">
                  <c:v>7000</c:v>
                </c:pt>
                <c:pt idx="3">
                  <c:v>11500</c:v>
                </c:pt>
                <c:pt idx="4">
                  <c:v>13000</c:v>
                </c:pt>
                <c:pt idx="5">
                  <c:v>16500</c:v>
                </c:pt>
                <c:pt idx="6">
                  <c:v>18500</c:v>
                </c:pt>
                <c:pt idx="7">
                  <c:v>14000</c:v>
                </c:pt>
                <c:pt idx="8">
                  <c:v>10500</c:v>
                </c:pt>
                <c:pt idx="9">
                  <c:v>9000</c:v>
                </c:pt>
                <c:pt idx="10">
                  <c:v>7000</c:v>
                </c:pt>
                <c:pt idx="11">
                  <c:v>6000</c:v>
                </c:pt>
              </c:numCache>
            </c:numRef>
          </c:val>
          <c:smooth val="1"/>
          <c:extLst>
            <c:ext xmlns:c16="http://schemas.microsoft.com/office/drawing/2014/chart" uri="{C3380CC4-5D6E-409C-BE32-E72D297353CC}">
              <c16:uniqueId val="{00000000-F0BD-4669-8639-24DBEDADE853}"/>
            </c:ext>
          </c:extLst>
        </c:ser>
        <c:ser>
          <c:idx val="1"/>
          <c:order val="1"/>
          <c:tx>
            <c:strRef>
              <c:f>'Chase Plan'!$E$1</c:f>
              <c:strCache>
                <c:ptCount val="1"/>
                <c:pt idx="0">
                  <c:v>Production</c:v>
                </c:pt>
              </c:strCache>
            </c:strRef>
          </c:tx>
          <c:spPr>
            <a:ln>
              <a:prstDash val="solid"/>
            </a:ln>
          </c:spPr>
          <c:marker>
            <c:symbol val="none"/>
          </c:marker>
          <c:cat>
            <c:strRef>
              <c:f>'Chase Plan'!$A$2:$A$13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'Chase Plan'!$E$2:$E$13</c:f>
              <c:numCache>
                <c:formatCode>#,##0</c:formatCode>
                <c:ptCount val="12"/>
                <c:pt idx="0">
                  <c:v>4600</c:v>
                </c:pt>
                <c:pt idx="1">
                  <c:v>6000</c:v>
                </c:pt>
                <c:pt idx="2">
                  <c:v>7000</c:v>
                </c:pt>
                <c:pt idx="3">
                  <c:v>11500</c:v>
                </c:pt>
                <c:pt idx="4">
                  <c:v>13000</c:v>
                </c:pt>
                <c:pt idx="5">
                  <c:v>16500</c:v>
                </c:pt>
                <c:pt idx="6">
                  <c:v>18500</c:v>
                </c:pt>
                <c:pt idx="7">
                  <c:v>14000</c:v>
                </c:pt>
                <c:pt idx="8">
                  <c:v>10500</c:v>
                </c:pt>
                <c:pt idx="9">
                  <c:v>9000</c:v>
                </c:pt>
                <c:pt idx="10">
                  <c:v>7000</c:v>
                </c:pt>
                <c:pt idx="11">
                  <c:v>6000</c:v>
                </c:pt>
              </c:numCache>
            </c:numRef>
          </c:val>
          <c:smooth val="1"/>
          <c:extLst>
            <c:ext xmlns:c16="http://schemas.microsoft.com/office/drawing/2014/chart" uri="{C3380CC4-5D6E-409C-BE32-E72D297353CC}">
              <c16:uniqueId val="{00000001-F0BD-4669-8639-24DBEDADE853}"/>
            </c:ext>
          </c:extLst>
        </c:ser>
        <c:dLbls>
          <c:showLegendKey val="0"/>
          <c:showVal val="0"/>
          <c:showCatName val="0"/>
          <c:showSerName val="0"/>
          <c:showPercent val="0"/>
          <c:showBubbleSize val="0"/>
        </c:dLbls>
        <c:smooth val="0"/>
        <c:axId val="10"/>
        <c:axId val="100"/>
      </c:line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bottles</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Demand vs. production</a:t>
            </a:r>
          </a:p>
        </c:rich>
      </c:tx>
      <c:overlay val="1"/>
    </c:title>
    <c:autoTitleDeleted val="0"/>
    <c:plotArea>
      <c:layout/>
      <c:lineChart>
        <c:grouping val="standard"/>
        <c:varyColors val="1"/>
        <c:ser>
          <c:idx val="0"/>
          <c:order val="0"/>
          <c:tx>
            <c:strRef>
              <c:f>'Level Plan'!$B$1</c:f>
              <c:strCache>
                <c:ptCount val="1"/>
                <c:pt idx="0">
                  <c:v>Demand</c:v>
                </c:pt>
              </c:strCache>
            </c:strRef>
          </c:tx>
          <c:spPr>
            <a:ln>
              <a:prstDash val="solid"/>
            </a:ln>
          </c:spPr>
          <c:marker>
            <c:symbol val="none"/>
          </c:marker>
          <c:cat>
            <c:strRef>
              <c:f>'Level Plan'!$A$2:$A$13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'Level Plan'!$B$2:$B$13</c:f>
              <c:numCache>
                <c:formatCode>#,##0</c:formatCode>
                <c:ptCount val="12"/>
                <c:pt idx="0">
                  <c:v>7000</c:v>
                </c:pt>
                <c:pt idx="1">
                  <c:v>6000</c:v>
                </c:pt>
                <c:pt idx="2">
                  <c:v>7000</c:v>
                </c:pt>
                <c:pt idx="3">
                  <c:v>11500</c:v>
                </c:pt>
                <c:pt idx="4">
                  <c:v>13000</c:v>
                </c:pt>
                <c:pt idx="5">
                  <c:v>16500</c:v>
                </c:pt>
                <c:pt idx="6">
                  <c:v>18500</c:v>
                </c:pt>
                <c:pt idx="7">
                  <c:v>14000</c:v>
                </c:pt>
                <c:pt idx="8">
                  <c:v>10500</c:v>
                </c:pt>
                <c:pt idx="9">
                  <c:v>9000</c:v>
                </c:pt>
                <c:pt idx="10">
                  <c:v>7000</c:v>
                </c:pt>
                <c:pt idx="11">
                  <c:v>6000</c:v>
                </c:pt>
              </c:numCache>
            </c:numRef>
          </c:val>
          <c:smooth val="1"/>
          <c:extLst>
            <c:ext xmlns:c16="http://schemas.microsoft.com/office/drawing/2014/chart" uri="{C3380CC4-5D6E-409C-BE32-E72D297353CC}">
              <c16:uniqueId val="{00000000-F9C2-47E2-BBB1-2833B0995122}"/>
            </c:ext>
          </c:extLst>
        </c:ser>
        <c:ser>
          <c:idx val="1"/>
          <c:order val="1"/>
          <c:tx>
            <c:strRef>
              <c:f>'Level Plan'!$E$1</c:f>
              <c:strCache>
                <c:ptCount val="1"/>
                <c:pt idx="0">
                  <c:v>Production</c:v>
                </c:pt>
              </c:strCache>
            </c:strRef>
          </c:tx>
          <c:spPr>
            <a:ln>
              <a:prstDash val="solid"/>
            </a:ln>
          </c:spPr>
          <c:marker>
            <c:symbol val="none"/>
          </c:marker>
          <c:cat>
            <c:strRef>
              <c:f>'Level Plan'!$A$2:$A$13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'Level Plan'!$E$2:$E$13</c:f>
              <c:numCache>
                <c:formatCode>#,##0</c:formatCode>
                <c:ptCount val="12"/>
                <c:pt idx="0">
                  <c:v>10300</c:v>
                </c:pt>
                <c:pt idx="1">
                  <c:v>10300</c:v>
                </c:pt>
                <c:pt idx="2">
                  <c:v>10300</c:v>
                </c:pt>
                <c:pt idx="3">
                  <c:v>10300</c:v>
                </c:pt>
                <c:pt idx="4">
                  <c:v>10300</c:v>
                </c:pt>
                <c:pt idx="5">
                  <c:v>10300</c:v>
                </c:pt>
                <c:pt idx="6">
                  <c:v>10300</c:v>
                </c:pt>
                <c:pt idx="7">
                  <c:v>10300</c:v>
                </c:pt>
                <c:pt idx="8">
                  <c:v>10300</c:v>
                </c:pt>
                <c:pt idx="9">
                  <c:v>10300</c:v>
                </c:pt>
                <c:pt idx="10">
                  <c:v>10300</c:v>
                </c:pt>
                <c:pt idx="11">
                  <c:v>10300</c:v>
                </c:pt>
              </c:numCache>
            </c:numRef>
          </c:val>
          <c:smooth val="1"/>
          <c:extLst>
            <c:ext xmlns:c16="http://schemas.microsoft.com/office/drawing/2014/chart" uri="{C3380CC4-5D6E-409C-BE32-E72D297353CC}">
              <c16:uniqueId val="{00000001-F9C2-47E2-BBB1-2833B0995122}"/>
            </c:ext>
          </c:extLst>
        </c:ser>
        <c:dLbls>
          <c:showLegendKey val="0"/>
          <c:showVal val="0"/>
          <c:showCatName val="0"/>
          <c:showSerName val="0"/>
          <c:showPercent val="0"/>
          <c:showBubbleSize val="0"/>
        </c:dLbls>
        <c:smooth val="0"/>
        <c:axId val="10"/>
        <c:axId val="100"/>
      </c:line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bottles</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Demand vs. production</a:t>
            </a:r>
          </a:p>
        </c:rich>
      </c:tx>
      <c:overlay val="1"/>
    </c:title>
    <c:autoTitleDeleted val="0"/>
    <c:plotArea>
      <c:layout/>
      <c:lineChart>
        <c:grouping val="standard"/>
        <c:varyColors val="1"/>
        <c:ser>
          <c:idx val="0"/>
          <c:order val="0"/>
          <c:tx>
            <c:strRef>
              <c:f>'Hybrid Plan'!$B$1</c:f>
              <c:strCache>
                <c:ptCount val="1"/>
                <c:pt idx="0">
                  <c:v>Demand</c:v>
                </c:pt>
              </c:strCache>
            </c:strRef>
          </c:tx>
          <c:spPr>
            <a:ln>
              <a:prstDash val="solid"/>
            </a:ln>
          </c:spPr>
          <c:marker>
            <c:symbol val="none"/>
          </c:marker>
          <c:cat>
            <c:strRef>
              <c:f>'Hybrid Plan'!$A$2:$A$13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'Hybrid Plan'!$B$2:$B$13</c:f>
              <c:numCache>
                <c:formatCode>#,##0</c:formatCode>
                <c:ptCount val="12"/>
                <c:pt idx="0">
                  <c:v>7000</c:v>
                </c:pt>
                <c:pt idx="1">
                  <c:v>6000</c:v>
                </c:pt>
                <c:pt idx="2">
                  <c:v>7000</c:v>
                </c:pt>
                <c:pt idx="3">
                  <c:v>11500</c:v>
                </c:pt>
                <c:pt idx="4">
                  <c:v>13000</c:v>
                </c:pt>
                <c:pt idx="5">
                  <c:v>16500</c:v>
                </c:pt>
                <c:pt idx="6">
                  <c:v>18500</c:v>
                </c:pt>
                <c:pt idx="7">
                  <c:v>14000</c:v>
                </c:pt>
                <c:pt idx="8">
                  <c:v>10500</c:v>
                </c:pt>
                <c:pt idx="9">
                  <c:v>9000</c:v>
                </c:pt>
                <c:pt idx="10">
                  <c:v>7000</c:v>
                </c:pt>
                <c:pt idx="11">
                  <c:v>6000</c:v>
                </c:pt>
              </c:numCache>
            </c:numRef>
          </c:val>
          <c:smooth val="1"/>
          <c:extLst>
            <c:ext xmlns:c16="http://schemas.microsoft.com/office/drawing/2014/chart" uri="{C3380CC4-5D6E-409C-BE32-E72D297353CC}">
              <c16:uniqueId val="{00000000-4EE9-4039-A85B-A1DFA9540DD1}"/>
            </c:ext>
          </c:extLst>
        </c:ser>
        <c:ser>
          <c:idx val="1"/>
          <c:order val="1"/>
          <c:tx>
            <c:strRef>
              <c:f>'Hybrid Plan'!$J$1</c:f>
              <c:strCache>
                <c:ptCount val="1"/>
                <c:pt idx="0">
                  <c:v>Total Production</c:v>
                </c:pt>
              </c:strCache>
            </c:strRef>
          </c:tx>
          <c:spPr>
            <a:ln>
              <a:prstDash val="solid"/>
            </a:ln>
          </c:spPr>
          <c:marker>
            <c:symbol val="none"/>
          </c:marker>
          <c:cat>
            <c:strRef>
              <c:f>'Hybrid Plan'!$A$2:$A$13</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'Hybrid Plan'!$J$2:$J$13</c:f>
              <c:numCache>
                <c:formatCode>#,##0</c:formatCode>
                <c:ptCount val="12"/>
                <c:pt idx="0">
                  <c:v>11000</c:v>
                </c:pt>
                <c:pt idx="1">
                  <c:v>11000</c:v>
                </c:pt>
                <c:pt idx="2">
                  <c:v>11000</c:v>
                </c:pt>
                <c:pt idx="3">
                  <c:v>11000</c:v>
                </c:pt>
                <c:pt idx="4">
                  <c:v>11000</c:v>
                </c:pt>
                <c:pt idx="5">
                  <c:v>12000</c:v>
                </c:pt>
                <c:pt idx="6">
                  <c:v>13000</c:v>
                </c:pt>
                <c:pt idx="7">
                  <c:v>11000</c:v>
                </c:pt>
                <c:pt idx="8">
                  <c:v>11000</c:v>
                </c:pt>
                <c:pt idx="9">
                  <c:v>11000</c:v>
                </c:pt>
                <c:pt idx="10">
                  <c:v>11000</c:v>
                </c:pt>
                <c:pt idx="11">
                  <c:v>11000</c:v>
                </c:pt>
              </c:numCache>
            </c:numRef>
          </c:val>
          <c:smooth val="1"/>
          <c:extLst>
            <c:ext xmlns:c16="http://schemas.microsoft.com/office/drawing/2014/chart" uri="{C3380CC4-5D6E-409C-BE32-E72D297353CC}">
              <c16:uniqueId val="{00000001-4EE9-4039-A85B-A1DFA9540DD1}"/>
            </c:ext>
          </c:extLst>
        </c:ser>
        <c:dLbls>
          <c:showLegendKey val="0"/>
          <c:showVal val="0"/>
          <c:showCatName val="0"/>
          <c:showSerName val="0"/>
          <c:showPercent val="0"/>
          <c:showBubbleSize val="0"/>
        </c:dLbls>
        <c:smooth val="0"/>
        <c:axId val="10"/>
        <c:axId val="100"/>
      </c:line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title>
          <c:tx>
            <c:rich>
              <a:bodyPr/>
              <a:lstStyle/>
              <a:p>
                <a:pPr>
                  <a:defRPr/>
                </a:pPr>
                <a:r>
                  <a:t>bottles</a:t>
                </a:r>
              </a:p>
            </c:rich>
          </c:tx>
          <c:overlay val="1"/>
        </c:title>
        <c:numFmt formatCode="#,##0" sourceLinked="1"/>
        <c:majorTickMark val="none"/>
        <c:minorTickMark val="none"/>
        <c:tickLblPos val="nextTo"/>
        <c:crossAx val="10"/>
        <c:crosses val="autoZero"/>
        <c:crossBetween val="between"/>
      </c:valAx>
    </c:plotArea>
    <c:legend>
      <c:legendPos val="r"/>
      <c:overlay val="1"/>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0</xdr:col>
      <xdr:colOff>0</xdr:colOff>
      <xdr:row>16</xdr:row>
      <xdr:rowOff>0</xdr:rowOff>
    </xdr:from>
    <xdr:ext cx="5760000" cy="270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16</xdr:row>
      <xdr:rowOff>0</xdr:rowOff>
    </xdr:from>
    <xdr:ext cx="5760000" cy="27000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16</xdr:row>
      <xdr:rowOff>0</xdr:rowOff>
    </xdr:from>
    <xdr:ext cx="5760000" cy="270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1"/>
  <sheetViews>
    <sheetView showGridLines="0" tabSelected="1" workbookViewId="0"/>
  </sheetViews>
  <sheetFormatPr defaultRowHeight="15" x14ac:dyDescent="0.25"/>
  <cols>
    <col min="1" max="1" width="3" customWidth="1"/>
    <col min="2" max="2" width="26" customWidth="1"/>
    <col min="3" max="4" width="62" customWidth="1"/>
  </cols>
  <sheetData>
    <row r="1" spans="2:4" ht="21" x14ac:dyDescent="0.35">
      <c r="B1" s="1" t="s">
        <v>0</v>
      </c>
    </row>
    <row r="2" spans="2:4" x14ac:dyDescent="0.25">
      <c r="B2" s="2" t="s">
        <v>1</v>
      </c>
    </row>
    <row r="4" spans="2:4" x14ac:dyDescent="0.25">
      <c r="B4" s="3" t="s">
        <v>2</v>
      </c>
      <c r="C4" s="4" t="s">
        <v>3</v>
      </c>
      <c r="D4" s="38" t="s">
        <v>4</v>
      </c>
    </row>
    <row r="5" spans="2:4" x14ac:dyDescent="0.25">
      <c r="B5" s="3" t="s">
        <v>5</v>
      </c>
      <c r="C5" s="4" t="s">
        <v>6</v>
      </c>
      <c r="D5" s="39"/>
    </row>
    <row r="6" spans="2:4" x14ac:dyDescent="0.25">
      <c r="B6" s="3" t="s">
        <v>7</v>
      </c>
      <c r="C6" s="5">
        <v>7</v>
      </c>
      <c r="D6" s="39"/>
    </row>
    <row r="8" spans="2:4" ht="15.75" x14ac:dyDescent="0.25">
      <c r="B8" s="6" t="s">
        <v>8</v>
      </c>
    </row>
    <row r="9" spans="2:4" x14ac:dyDescent="0.25">
      <c r="B9" s="7" t="s">
        <v>9</v>
      </c>
      <c r="C9" s="40" t="s">
        <v>10</v>
      </c>
      <c r="D9" s="39"/>
    </row>
    <row r="10" spans="2:4" x14ac:dyDescent="0.25">
      <c r="B10" s="7" t="s">
        <v>11</v>
      </c>
      <c r="C10" s="40" t="s">
        <v>12</v>
      </c>
      <c r="D10" s="39"/>
    </row>
    <row r="11" spans="2:4" x14ac:dyDescent="0.25">
      <c r="B11" s="7" t="s">
        <v>13</v>
      </c>
      <c r="C11" s="40" t="s">
        <v>14</v>
      </c>
      <c r="D11" s="39"/>
    </row>
    <row r="12" spans="2:4" x14ac:dyDescent="0.25">
      <c r="B12" s="7" t="s">
        <v>15</v>
      </c>
      <c r="C12" s="40" t="s">
        <v>16</v>
      </c>
      <c r="D12" s="39"/>
    </row>
    <row r="13" spans="2:4" x14ac:dyDescent="0.25">
      <c r="B13" s="7" t="s">
        <v>17</v>
      </c>
      <c r="C13" s="40" t="s">
        <v>18</v>
      </c>
      <c r="D13" s="39"/>
    </row>
    <row r="14" spans="2:4" x14ac:dyDescent="0.25">
      <c r="B14" s="7" t="s">
        <v>19</v>
      </c>
      <c r="C14" s="40" t="s">
        <v>20</v>
      </c>
      <c r="D14" s="39"/>
    </row>
    <row r="16" spans="2:4" ht="15.75" x14ac:dyDescent="0.25">
      <c r="B16" s="6" t="s">
        <v>21</v>
      </c>
    </row>
    <row r="17" spans="2:4" x14ac:dyDescent="0.25">
      <c r="B17" s="9"/>
      <c r="C17" t="s">
        <v>22</v>
      </c>
    </row>
    <row r="18" spans="2:4" x14ac:dyDescent="0.25">
      <c r="B18" s="10"/>
      <c r="C18" t="s">
        <v>23</v>
      </c>
    </row>
    <row r="19" spans="2:4" x14ac:dyDescent="0.25">
      <c r="B19" s="11"/>
      <c r="C19" t="s">
        <v>24</v>
      </c>
    </row>
    <row r="20" spans="2:4" x14ac:dyDescent="0.25">
      <c r="B20" s="12"/>
      <c r="C20" t="s">
        <v>25</v>
      </c>
    </row>
    <row r="22" spans="2:4" ht="15.75" x14ac:dyDescent="0.25">
      <c r="B22" s="6" t="s">
        <v>26</v>
      </c>
    </row>
    <row r="23" spans="2:4" ht="32.1" customHeight="1" x14ac:dyDescent="0.25">
      <c r="B23" s="40" t="s">
        <v>27</v>
      </c>
      <c r="C23" s="39"/>
      <c r="D23" s="39"/>
    </row>
    <row r="24" spans="2:4" x14ac:dyDescent="0.25">
      <c r="B24" s="13" t="s">
        <v>28</v>
      </c>
      <c r="C24" s="13" t="s">
        <v>29</v>
      </c>
      <c r="D24" s="13" t="s">
        <v>30</v>
      </c>
    </row>
    <row r="25" spans="2:4" x14ac:dyDescent="0.25">
      <c r="B25" s="14" t="s">
        <v>31</v>
      </c>
      <c r="C25" s="15" t="s">
        <v>32</v>
      </c>
      <c r="D25" s="15" t="s">
        <v>33</v>
      </c>
    </row>
    <row r="26" spans="2:4" x14ac:dyDescent="0.25">
      <c r="B26" s="14" t="s">
        <v>34</v>
      </c>
      <c r="C26" s="15" t="s">
        <v>35</v>
      </c>
      <c r="D26" s="15" t="s">
        <v>33</v>
      </c>
    </row>
    <row r="27" spans="2:4" ht="30" x14ac:dyDescent="0.25">
      <c r="B27" s="14" t="s">
        <v>36</v>
      </c>
      <c r="C27" s="15" t="s">
        <v>37</v>
      </c>
      <c r="D27" s="15" t="s">
        <v>38</v>
      </c>
    </row>
    <row r="28" spans="2:4" ht="30" x14ac:dyDescent="0.25">
      <c r="B28" s="14" t="s">
        <v>39</v>
      </c>
      <c r="C28" s="15" t="s">
        <v>40</v>
      </c>
      <c r="D28" s="15" t="s">
        <v>41</v>
      </c>
    </row>
    <row r="29" spans="2:4" ht="30" x14ac:dyDescent="0.25">
      <c r="B29" s="14" t="s">
        <v>42</v>
      </c>
      <c r="C29" s="15" t="s">
        <v>43</v>
      </c>
      <c r="D29" s="15" t="s">
        <v>33</v>
      </c>
    </row>
    <row r="30" spans="2:4" ht="30" x14ac:dyDescent="0.25">
      <c r="B30" s="14" t="s">
        <v>44</v>
      </c>
      <c r="C30" s="15" t="s">
        <v>45</v>
      </c>
      <c r="D30" s="15" t="s">
        <v>33</v>
      </c>
    </row>
    <row r="31" spans="2:4" ht="30" x14ac:dyDescent="0.25">
      <c r="B31" s="14" t="s">
        <v>46</v>
      </c>
      <c r="C31" s="15" t="s">
        <v>47</v>
      </c>
      <c r="D31" s="15" t="s">
        <v>33</v>
      </c>
    </row>
    <row r="32" spans="2:4" ht="30" x14ac:dyDescent="0.25">
      <c r="B32" s="14" t="s">
        <v>48</v>
      </c>
      <c r="C32" s="15" t="s">
        <v>49</v>
      </c>
      <c r="D32" s="15" t="s">
        <v>33</v>
      </c>
    </row>
    <row r="33" spans="2:4" ht="30" x14ac:dyDescent="0.25">
      <c r="B33" s="14" t="s">
        <v>50</v>
      </c>
      <c r="C33" s="15" t="s">
        <v>51</v>
      </c>
      <c r="D33" s="15" t="s">
        <v>33</v>
      </c>
    </row>
    <row r="34" spans="2:4" x14ac:dyDescent="0.25">
      <c r="B34" s="14" t="s">
        <v>52</v>
      </c>
      <c r="C34" s="15" t="s">
        <v>53</v>
      </c>
      <c r="D34" s="15" t="s">
        <v>33</v>
      </c>
    </row>
    <row r="35" spans="2:4" x14ac:dyDescent="0.25">
      <c r="B35" s="14" t="s">
        <v>54</v>
      </c>
      <c r="C35" s="15" t="s">
        <v>55</v>
      </c>
      <c r="D35" s="15" t="s">
        <v>33</v>
      </c>
    </row>
    <row r="36" spans="2:4" x14ac:dyDescent="0.25">
      <c r="B36" s="14" t="s">
        <v>56</v>
      </c>
      <c r="C36" s="15" t="s">
        <v>57</v>
      </c>
      <c r="D36" s="15" t="s">
        <v>33</v>
      </c>
    </row>
    <row r="37" spans="2:4" x14ac:dyDescent="0.25">
      <c r="B37" s="14" t="s">
        <v>58</v>
      </c>
      <c r="C37" s="15" t="s">
        <v>59</v>
      </c>
      <c r="D37" s="15" t="s">
        <v>33</v>
      </c>
    </row>
    <row r="38" spans="2:4" x14ac:dyDescent="0.25">
      <c r="B38" s="14" t="s">
        <v>60</v>
      </c>
      <c r="C38" s="15" t="s">
        <v>61</v>
      </c>
      <c r="D38" s="15" t="s">
        <v>33</v>
      </c>
    </row>
    <row r="39" spans="2:4" x14ac:dyDescent="0.25">
      <c r="B39" s="16" t="s">
        <v>62</v>
      </c>
      <c r="C39" s="15" t="s">
        <v>63</v>
      </c>
      <c r="D39" s="17" t="s">
        <v>33</v>
      </c>
    </row>
    <row r="41" spans="2:4" x14ac:dyDescent="0.25">
      <c r="B41" s="2" t="s">
        <v>64</v>
      </c>
    </row>
  </sheetData>
  <sheetProtection sheet="1" formatCells="0" formatColumns="0" formatRows="0"/>
  <mergeCells count="8">
    <mergeCell ref="D4:D6"/>
    <mergeCell ref="C12:D12"/>
    <mergeCell ref="C10:D10"/>
    <mergeCell ref="B23:D23"/>
    <mergeCell ref="C11:D11"/>
    <mergeCell ref="C14:D14"/>
    <mergeCell ref="C13:D13"/>
    <mergeCell ref="C9:D9"/>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2"/>
  <sheetViews>
    <sheetView showGridLines="0" workbookViewId="0"/>
  </sheetViews>
  <sheetFormatPr defaultRowHeight="15" x14ac:dyDescent="0.25"/>
  <cols>
    <col min="1" max="1" width="13" customWidth="1"/>
    <col min="2" max="2" width="17" customWidth="1"/>
    <col min="3" max="4" width="3" customWidth="1"/>
    <col min="5" max="5" width="66" customWidth="1"/>
    <col min="6" max="6" width="13" customWidth="1"/>
    <col min="7" max="7" width="17" customWidth="1"/>
    <col min="8" max="8" width="16" customWidth="1"/>
  </cols>
  <sheetData>
    <row r="1" spans="1:8" ht="21" x14ac:dyDescent="0.35">
      <c r="A1" s="1" t="s">
        <v>65</v>
      </c>
    </row>
    <row r="2" spans="1:8" x14ac:dyDescent="0.25">
      <c r="A2" s="2" t="s">
        <v>66</v>
      </c>
    </row>
    <row r="4" spans="1:8" ht="15.75" x14ac:dyDescent="0.25">
      <c r="A4" s="6" t="s">
        <v>67</v>
      </c>
      <c r="E4" s="6" t="s">
        <v>68</v>
      </c>
    </row>
    <row r="5" spans="1:8" x14ac:dyDescent="0.25">
      <c r="A5" s="18" t="s">
        <v>69</v>
      </c>
      <c r="B5" s="18" t="s">
        <v>70</v>
      </c>
      <c r="E5" s="18" t="s">
        <v>71</v>
      </c>
      <c r="F5" s="18" t="s">
        <v>72</v>
      </c>
      <c r="G5" s="18" t="s">
        <v>73</v>
      </c>
      <c r="H5" s="18" t="s">
        <v>74</v>
      </c>
    </row>
    <row r="6" spans="1:8" x14ac:dyDescent="0.25">
      <c r="A6" s="4" t="s">
        <v>75</v>
      </c>
      <c r="B6" s="19">
        <v>7000</v>
      </c>
      <c r="E6" s="17" t="s">
        <v>76</v>
      </c>
      <c r="F6" s="19">
        <v>2400</v>
      </c>
      <c r="G6" s="20" t="s">
        <v>77</v>
      </c>
      <c r="H6" s="17" t="s">
        <v>78</v>
      </c>
    </row>
    <row r="7" spans="1:8" x14ac:dyDescent="0.25">
      <c r="A7" s="4" t="s">
        <v>79</v>
      </c>
      <c r="B7" s="19">
        <v>6000</v>
      </c>
      <c r="E7" s="17" t="s">
        <v>80</v>
      </c>
      <c r="F7" s="19">
        <v>2400</v>
      </c>
      <c r="G7" s="20" t="s">
        <v>81</v>
      </c>
      <c r="H7" s="17" t="s">
        <v>78</v>
      </c>
    </row>
    <row r="8" spans="1:8" x14ac:dyDescent="0.25">
      <c r="A8" s="4" t="s">
        <v>82</v>
      </c>
      <c r="B8" s="19">
        <v>7000</v>
      </c>
      <c r="E8" s="17" t="s">
        <v>83</v>
      </c>
      <c r="F8" s="19">
        <v>0</v>
      </c>
      <c r="G8" s="20" t="s">
        <v>84</v>
      </c>
      <c r="H8" s="17" t="s">
        <v>78</v>
      </c>
    </row>
    <row r="9" spans="1:8" x14ac:dyDescent="0.25">
      <c r="A9" s="4" t="s">
        <v>85</v>
      </c>
      <c r="B9" s="19">
        <v>11500</v>
      </c>
      <c r="E9" s="17" t="s">
        <v>86</v>
      </c>
      <c r="F9" s="19">
        <v>30000</v>
      </c>
      <c r="G9" s="20" t="s">
        <v>87</v>
      </c>
      <c r="H9" s="17" t="s">
        <v>78</v>
      </c>
    </row>
    <row r="10" spans="1:8" x14ac:dyDescent="0.25">
      <c r="A10" s="4" t="s">
        <v>88</v>
      </c>
      <c r="B10" s="19">
        <v>13000</v>
      </c>
      <c r="E10" s="17" t="s">
        <v>89</v>
      </c>
      <c r="F10" s="19">
        <v>8</v>
      </c>
      <c r="G10" s="20" t="s">
        <v>90</v>
      </c>
      <c r="H10" s="17" t="s">
        <v>91</v>
      </c>
    </row>
    <row r="11" spans="1:8" x14ac:dyDescent="0.25">
      <c r="A11" s="4" t="s">
        <v>92</v>
      </c>
      <c r="B11" s="19">
        <v>16500</v>
      </c>
      <c r="E11" s="17" t="s">
        <v>93</v>
      </c>
      <c r="F11" s="19">
        <v>5</v>
      </c>
      <c r="G11" s="20" t="s">
        <v>94</v>
      </c>
      <c r="H11" s="17" t="s">
        <v>95</v>
      </c>
    </row>
    <row r="12" spans="1:8" x14ac:dyDescent="0.25">
      <c r="A12" s="4" t="s">
        <v>96</v>
      </c>
      <c r="B12" s="19">
        <v>18500</v>
      </c>
      <c r="E12" s="17" t="s">
        <v>97</v>
      </c>
      <c r="F12" s="19">
        <v>8</v>
      </c>
      <c r="G12" s="20" t="s">
        <v>98</v>
      </c>
      <c r="H12" s="17" t="s">
        <v>99</v>
      </c>
    </row>
    <row r="13" spans="1:8" x14ac:dyDescent="0.25">
      <c r="A13" s="4" t="s">
        <v>100</v>
      </c>
      <c r="B13" s="19">
        <v>14000</v>
      </c>
      <c r="E13" s="17" t="s">
        <v>101</v>
      </c>
      <c r="F13" s="19">
        <v>25</v>
      </c>
      <c r="G13" s="20" t="s">
        <v>102</v>
      </c>
      <c r="H13" s="17" t="s">
        <v>103</v>
      </c>
    </row>
    <row r="14" spans="1:8" x14ac:dyDescent="0.25">
      <c r="A14" s="4" t="s">
        <v>104</v>
      </c>
      <c r="B14" s="19">
        <v>10500</v>
      </c>
      <c r="E14" s="17" t="s">
        <v>105</v>
      </c>
      <c r="F14" s="21">
        <v>3200</v>
      </c>
      <c r="G14" s="20" t="s">
        <v>106</v>
      </c>
      <c r="H14" s="17" t="s">
        <v>107</v>
      </c>
    </row>
    <row r="15" spans="1:8" x14ac:dyDescent="0.25">
      <c r="A15" s="4" t="s">
        <v>108</v>
      </c>
      <c r="B15" s="19">
        <v>9000</v>
      </c>
      <c r="E15" s="17" t="s">
        <v>109</v>
      </c>
      <c r="F15" s="21">
        <v>600</v>
      </c>
      <c r="G15" s="20" t="s">
        <v>110</v>
      </c>
      <c r="H15" s="17" t="s">
        <v>111</v>
      </c>
    </row>
    <row r="16" spans="1:8" x14ac:dyDescent="0.25">
      <c r="A16" s="4" t="s">
        <v>112</v>
      </c>
      <c r="B16" s="19">
        <v>7000</v>
      </c>
      <c r="E16" s="17" t="s">
        <v>113</v>
      </c>
      <c r="F16" s="21">
        <v>900</v>
      </c>
      <c r="G16" s="20" t="s">
        <v>114</v>
      </c>
      <c r="H16" s="17" t="s">
        <v>111</v>
      </c>
    </row>
    <row r="17" spans="1:8" x14ac:dyDescent="0.25">
      <c r="A17" s="4" t="s">
        <v>115</v>
      </c>
      <c r="B17" s="19">
        <v>6000</v>
      </c>
      <c r="E17" s="17" t="s">
        <v>116</v>
      </c>
      <c r="F17" s="21">
        <v>0.25</v>
      </c>
      <c r="G17" s="20" t="s">
        <v>117</v>
      </c>
      <c r="H17" s="17" t="s">
        <v>118</v>
      </c>
    </row>
    <row r="18" spans="1:8" x14ac:dyDescent="0.25">
      <c r="E18" s="17" t="s">
        <v>119</v>
      </c>
      <c r="F18" s="21">
        <v>1.5</v>
      </c>
      <c r="G18" s="20" t="s">
        <v>120</v>
      </c>
      <c r="H18" s="17" t="s">
        <v>118</v>
      </c>
    </row>
    <row r="19" spans="1:8" x14ac:dyDescent="0.25">
      <c r="E19" s="17" t="s">
        <v>121</v>
      </c>
      <c r="F19" s="22">
        <v>0.2</v>
      </c>
      <c r="G19" s="20" t="s">
        <v>122</v>
      </c>
      <c r="H19" s="17" t="s">
        <v>123</v>
      </c>
    </row>
    <row r="20" spans="1:8" x14ac:dyDescent="0.25">
      <c r="E20" s="17" t="s">
        <v>124</v>
      </c>
      <c r="F20" s="21">
        <v>4.5</v>
      </c>
      <c r="G20" s="20" t="s">
        <v>125</v>
      </c>
      <c r="H20" s="17" t="s">
        <v>126</v>
      </c>
    </row>
    <row r="21" spans="1:8" x14ac:dyDescent="0.25">
      <c r="E21" s="17" t="s">
        <v>127</v>
      </c>
      <c r="F21" s="21">
        <v>5.25</v>
      </c>
      <c r="G21" s="20" t="s">
        <v>128</v>
      </c>
      <c r="H21" s="17" t="s">
        <v>126</v>
      </c>
    </row>
    <row r="22" spans="1:8" x14ac:dyDescent="0.25">
      <c r="E22" s="17" t="s">
        <v>129</v>
      </c>
      <c r="F22" s="19">
        <v>5000</v>
      </c>
      <c r="G22" s="20" t="s">
        <v>130</v>
      </c>
      <c r="H22" s="17" t="s">
        <v>131</v>
      </c>
    </row>
  </sheetData>
  <sheetProtection sheet="1" formatCells="0" formatColumns="0" formatRows="0"/>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4"/>
  <sheetViews>
    <sheetView workbookViewId="0">
      <pane xSplit="2" ySplit="1" topLeftCell="C2" activePane="bottomRight" state="frozen"/>
      <selection pane="topRight"/>
      <selection pane="bottomLeft"/>
      <selection pane="bottomRight"/>
    </sheetView>
  </sheetViews>
  <sheetFormatPr defaultRowHeight="15" x14ac:dyDescent="0.25"/>
  <cols>
    <col min="1" max="1" width="11" customWidth="1"/>
    <col min="2" max="16" width="13" customWidth="1"/>
    <col min="18" max="18" width="52" customWidth="1"/>
    <col min="19" max="19" width="14" customWidth="1"/>
  </cols>
  <sheetData>
    <row r="1" spans="1:19" ht="48" customHeight="1" x14ac:dyDescent="0.25">
      <c r="A1" s="23" t="s">
        <v>69</v>
      </c>
      <c r="B1" s="23" t="s">
        <v>132</v>
      </c>
      <c r="C1" s="23" t="s">
        <v>31</v>
      </c>
      <c r="D1" s="23" t="s">
        <v>34</v>
      </c>
      <c r="E1" s="23" t="s">
        <v>36</v>
      </c>
      <c r="F1" s="23" t="s">
        <v>39</v>
      </c>
      <c r="G1" s="23" t="s">
        <v>42</v>
      </c>
      <c r="H1" s="23" t="s">
        <v>44</v>
      </c>
      <c r="I1" s="23" t="s">
        <v>46</v>
      </c>
      <c r="J1" s="23" t="s">
        <v>48</v>
      </c>
      <c r="K1" s="23" t="s">
        <v>50</v>
      </c>
      <c r="L1" s="23" t="s">
        <v>52</v>
      </c>
      <c r="M1" s="23" t="s">
        <v>54</v>
      </c>
      <c r="N1" s="23" t="s">
        <v>56</v>
      </c>
      <c r="O1" s="23" t="s">
        <v>58</v>
      </c>
      <c r="P1" s="23" t="s">
        <v>60</v>
      </c>
      <c r="R1" s="23" t="s">
        <v>133</v>
      </c>
      <c r="S1" s="23" t="s">
        <v>134</v>
      </c>
    </row>
    <row r="2" spans="1:19" x14ac:dyDescent="0.25">
      <c r="A2" s="4" t="s">
        <v>75</v>
      </c>
      <c r="B2" s="19">
        <v>7000</v>
      </c>
      <c r="C2" s="24">
        <f>BeginInv</f>
        <v>2400</v>
      </c>
      <c r="D2" s="24">
        <f>0</f>
        <v>0</v>
      </c>
      <c r="E2" s="24">
        <f t="shared" ref="E2:E13" si="0">MAX(0,B2+$S$3-C2+D2)</f>
        <v>4600</v>
      </c>
      <c r="F2" s="24">
        <f t="shared" ref="F2:F13" si="1">ROUNDUP(E2/$S$2,0)</f>
        <v>5</v>
      </c>
      <c r="G2" s="24">
        <f>MAX(0,F2-StartWorkers)</f>
        <v>0</v>
      </c>
      <c r="H2" s="24">
        <f>MAX(0,StartWorkers-F2)</f>
        <v>3</v>
      </c>
      <c r="I2" s="24">
        <f t="shared" ref="I2:I13" si="2">MAX(0,C2+E2-D2-B2)</f>
        <v>0</v>
      </c>
      <c r="J2" s="24">
        <f t="shared" ref="J2:J13" si="3">MAX(0,B2+D2-C2-E2)</f>
        <v>0</v>
      </c>
      <c r="K2" s="25">
        <f t="shared" ref="K2:K13" si="4">F2*LaborCost</f>
        <v>16000</v>
      </c>
      <c r="L2" s="25">
        <f t="shared" ref="L2:L13" si="5">G2*HireCost</f>
        <v>0</v>
      </c>
      <c r="M2" s="25">
        <f t="shared" ref="M2:M13" si="6">H2*LayoffCost</f>
        <v>2700</v>
      </c>
      <c r="N2" s="25">
        <f t="shared" ref="N2:N13" si="7">I2*HoldCost</f>
        <v>0</v>
      </c>
      <c r="O2" s="25">
        <f t="shared" ref="O2:O13" si="8">J2*BackorderCost</f>
        <v>0</v>
      </c>
      <c r="P2" s="25">
        <f t="shared" ref="P2:P13" si="9">SUM(K2:O2)</f>
        <v>18700</v>
      </c>
      <c r="R2" s="17" t="s">
        <v>135</v>
      </c>
      <c r="S2" s="26">
        <f>BottlesPerHour*HoursPerDay*DaysPerMonth</f>
        <v>1000</v>
      </c>
    </row>
    <row r="3" spans="1:19" x14ac:dyDescent="0.25">
      <c r="A3" s="4" t="s">
        <v>79</v>
      </c>
      <c r="B3" s="19">
        <v>6000</v>
      </c>
      <c r="C3" s="24">
        <f t="shared" ref="C3:C13" si="10">I2</f>
        <v>0</v>
      </c>
      <c r="D3" s="24">
        <f t="shared" ref="D3:D13" si="11">J2</f>
        <v>0</v>
      </c>
      <c r="E3" s="24">
        <f t="shared" si="0"/>
        <v>6000</v>
      </c>
      <c r="F3" s="24">
        <f t="shared" si="1"/>
        <v>6</v>
      </c>
      <c r="G3" s="24">
        <f t="shared" ref="G3:G13" si="12">MAX(0,F3-F2)</f>
        <v>1</v>
      </c>
      <c r="H3" s="24">
        <f t="shared" ref="H3:H13" si="13">MAX(0,F2-F3)</f>
        <v>0</v>
      </c>
      <c r="I3" s="24">
        <f t="shared" si="2"/>
        <v>0</v>
      </c>
      <c r="J3" s="24">
        <f t="shared" si="3"/>
        <v>0</v>
      </c>
      <c r="K3" s="25">
        <f t="shared" si="4"/>
        <v>19200</v>
      </c>
      <c r="L3" s="25">
        <f t="shared" si="5"/>
        <v>600</v>
      </c>
      <c r="M3" s="25">
        <f t="shared" si="6"/>
        <v>0</v>
      </c>
      <c r="N3" s="25">
        <f t="shared" si="7"/>
        <v>0</v>
      </c>
      <c r="O3" s="25">
        <f t="shared" si="8"/>
        <v>0</v>
      </c>
      <c r="P3" s="25">
        <f t="shared" si="9"/>
        <v>19800</v>
      </c>
      <c r="R3" s="17" t="s">
        <v>136</v>
      </c>
      <c r="S3" s="26">
        <f>EndTarget</f>
        <v>0</v>
      </c>
    </row>
    <row r="4" spans="1:19" x14ac:dyDescent="0.25">
      <c r="A4" s="4" t="s">
        <v>82</v>
      </c>
      <c r="B4" s="19">
        <v>7000</v>
      </c>
      <c r="C4" s="24">
        <f t="shared" si="10"/>
        <v>0</v>
      </c>
      <c r="D4" s="24">
        <f t="shared" si="11"/>
        <v>0</v>
      </c>
      <c r="E4" s="24">
        <f t="shared" si="0"/>
        <v>7000</v>
      </c>
      <c r="F4" s="24">
        <f t="shared" si="1"/>
        <v>7</v>
      </c>
      <c r="G4" s="24">
        <f t="shared" si="12"/>
        <v>1</v>
      </c>
      <c r="H4" s="24">
        <f t="shared" si="13"/>
        <v>0</v>
      </c>
      <c r="I4" s="24">
        <f t="shared" si="2"/>
        <v>0</v>
      </c>
      <c r="J4" s="24">
        <f t="shared" si="3"/>
        <v>0</v>
      </c>
      <c r="K4" s="25">
        <f t="shared" si="4"/>
        <v>22400</v>
      </c>
      <c r="L4" s="25">
        <f t="shared" si="5"/>
        <v>600</v>
      </c>
      <c r="M4" s="25">
        <f t="shared" si="6"/>
        <v>0</v>
      </c>
      <c r="N4" s="25">
        <f t="shared" si="7"/>
        <v>0</v>
      </c>
      <c r="O4" s="25">
        <f t="shared" si="8"/>
        <v>0</v>
      </c>
      <c r="P4" s="25">
        <f t="shared" si="9"/>
        <v>23000</v>
      </c>
    </row>
    <row r="5" spans="1:19" x14ac:dyDescent="0.25">
      <c r="A5" s="4" t="s">
        <v>85</v>
      </c>
      <c r="B5" s="19">
        <v>11500</v>
      </c>
      <c r="C5" s="24">
        <f t="shared" si="10"/>
        <v>0</v>
      </c>
      <c r="D5" s="24">
        <f t="shared" si="11"/>
        <v>0</v>
      </c>
      <c r="E5" s="24">
        <f t="shared" si="0"/>
        <v>11500</v>
      </c>
      <c r="F5" s="24">
        <f t="shared" si="1"/>
        <v>12</v>
      </c>
      <c r="G5" s="24">
        <f t="shared" si="12"/>
        <v>5</v>
      </c>
      <c r="H5" s="24">
        <f t="shared" si="13"/>
        <v>0</v>
      </c>
      <c r="I5" s="24">
        <f t="shared" si="2"/>
        <v>0</v>
      </c>
      <c r="J5" s="24">
        <f t="shared" si="3"/>
        <v>0</v>
      </c>
      <c r="K5" s="25">
        <f t="shared" si="4"/>
        <v>38400</v>
      </c>
      <c r="L5" s="25">
        <f t="shared" si="5"/>
        <v>3000</v>
      </c>
      <c r="M5" s="25">
        <f t="shared" si="6"/>
        <v>0</v>
      </c>
      <c r="N5" s="25">
        <f t="shared" si="7"/>
        <v>0</v>
      </c>
      <c r="O5" s="25">
        <f t="shared" si="8"/>
        <v>0</v>
      </c>
      <c r="P5" s="25">
        <f t="shared" si="9"/>
        <v>41400</v>
      </c>
      <c r="R5" s="2" t="s">
        <v>137</v>
      </c>
    </row>
    <row r="6" spans="1:19" x14ac:dyDescent="0.25">
      <c r="A6" s="4" t="s">
        <v>88</v>
      </c>
      <c r="B6" s="19">
        <v>13000</v>
      </c>
      <c r="C6" s="24">
        <f t="shared" si="10"/>
        <v>0</v>
      </c>
      <c r="D6" s="24">
        <f t="shared" si="11"/>
        <v>0</v>
      </c>
      <c r="E6" s="24">
        <f t="shared" si="0"/>
        <v>13000</v>
      </c>
      <c r="F6" s="24">
        <f t="shared" si="1"/>
        <v>13</v>
      </c>
      <c r="G6" s="24">
        <f t="shared" si="12"/>
        <v>1</v>
      </c>
      <c r="H6" s="24">
        <f t="shared" si="13"/>
        <v>0</v>
      </c>
      <c r="I6" s="24">
        <f t="shared" si="2"/>
        <v>0</v>
      </c>
      <c r="J6" s="24">
        <f t="shared" si="3"/>
        <v>0</v>
      </c>
      <c r="K6" s="25">
        <f t="shared" si="4"/>
        <v>41600</v>
      </c>
      <c r="L6" s="25">
        <f t="shared" si="5"/>
        <v>600</v>
      </c>
      <c r="M6" s="25">
        <f t="shared" si="6"/>
        <v>0</v>
      </c>
      <c r="N6" s="25">
        <f t="shared" si="7"/>
        <v>0</v>
      </c>
      <c r="O6" s="25">
        <f t="shared" si="8"/>
        <v>0</v>
      </c>
      <c r="P6" s="25">
        <f t="shared" si="9"/>
        <v>42200</v>
      </c>
      <c r="R6" s="2" t="s">
        <v>138</v>
      </c>
    </row>
    <row r="7" spans="1:19" x14ac:dyDescent="0.25">
      <c r="A7" s="4" t="s">
        <v>92</v>
      </c>
      <c r="B7" s="19">
        <v>16500</v>
      </c>
      <c r="C7" s="24">
        <f t="shared" si="10"/>
        <v>0</v>
      </c>
      <c r="D7" s="24">
        <f t="shared" si="11"/>
        <v>0</v>
      </c>
      <c r="E7" s="24">
        <f t="shared" si="0"/>
        <v>16500</v>
      </c>
      <c r="F7" s="24">
        <f t="shared" si="1"/>
        <v>17</v>
      </c>
      <c r="G7" s="24">
        <f t="shared" si="12"/>
        <v>4</v>
      </c>
      <c r="H7" s="24">
        <f t="shared" si="13"/>
        <v>0</v>
      </c>
      <c r="I7" s="24">
        <f t="shared" si="2"/>
        <v>0</v>
      </c>
      <c r="J7" s="24">
        <f t="shared" si="3"/>
        <v>0</v>
      </c>
      <c r="K7" s="25">
        <f t="shared" si="4"/>
        <v>54400</v>
      </c>
      <c r="L7" s="25">
        <f t="shared" si="5"/>
        <v>2400</v>
      </c>
      <c r="M7" s="25">
        <f t="shared" si="6"/>
        <v>0</v>
      </c>
      <c r="N7" s="25">
        <f t="shared" si="7"/>
        <v>0</v>
      </c>
      <c r="O7" s="25">
        <f t="shared" si="8"/>
        <v>0</v>
      </c>
      <c r="P7" s="25">
        <f t="shared" si="9"/>
        <v>56800</v>
      </c>
      <c r="R7" s="2" t="s">
        <v>139</v>
      </c>
    </row>
    <row r="8" spans="1:19" x14ac:dyDescent="0.25">
      <c r="A8" s="4" t="s">
        <v>96</v>
      </c>
      <c r="B8" s="19">
        <v>18500</v>
      </c>
      <c r="C8" s="24">
        <f t="shared" si="10"/>
        <v>0</v>
      </c>
      <c r="D8" s="24">
        <f t="shared" si="11"/>
        <v>0</v>
      </c>
      <c r="E8" s="24">
        <f t="shared" si="0"/>
        <v>18500</v>
      </c>
      <c r="F8" s="24">
        <f t="shared" si="1"/>
        <v>19</v>
      </c>
      <c r="G8" s="24">
        <f t="shared" si="12"/>
        <v>2</v>
      </c>
      <c r="H8" s="24">
        <f t="shared" si="13"/>
        <v>0</v>
      </c>
      <c r="I8" s="24">
        <f t="shared" si="2"/>
        <v>0</v>
      </c>
      <c r="J8" s="24">
        <f t="shared" si="3"/>
        <v>0</v>
      </c>
      <c r="K8" s="25">
        <f t="shared" si="4"/>
        <v>60800</v>
      </c>
      <c r="L8" s="25">
        <f t="shared" si="5"/>
        <v>1200</v>
      </c>
      <c r="M8" s="25">
        <f t="shared" si="6"/>
        <v>0</v>
      </c>
      <c r="N8" s="25">
        <f t="shared" si="7"/>
        <v>0</v>
      </c>
      <c r="O8" s="25">
        <f t="shared" si="8"/>
        <v>0</v>
      </c>
      <c r="P8" s="25">
        <f t="shared" si="9"/>
        <v>62000</v>
      </c>
    </row>
    <row r="9" spans="1:19" x14ac:dyDescent="0.25">
      <c r="A9" s="4" t="s">
        <v>100</v>
      </c>
      <c r="B9" s="19">
        <v>14000</v>
      </c>
      <c r="C9" s="24">
        <f t="shared" si="10"/>
        <v>0</v>
      </c>
      <c r="D9" s="24">
        <f t="shared" si="11"/>
        <v>0</v>
      </c>
      <c r="E9" s="24">
        <f t="shared" si="0"/>
        <v>14000</v>
      </c>
      <c r="F9" s="24">
        <f t="shared" si="1"/>
        <v>14</v>
      </c>
      <c r="G9" s="24">
        <f t="shared" si="12"/>
        <v>0</v>
      </c>
      <c r="H9" s="24">
        <f t="shared" si="13"/>
        <v>5</v>
      </c>
      <c r="I9" s="24">
        <f t="shared" si="2"/>
        <v>0</v>
      </c>
      <c r="J9" s="24">
        <f t="shared" si="3"/>
        <v>0</v>
      </c>
      <c r="K9" s="25">
        <f t="shared" si="4"/>
        <v>44800</v>
      </c>
      <c r="L9" s="25">
        <f t="shared" si="5"/>
        <v>0</v>
      </c>
      <c r="M9" s="25">
        <f t="shared" si="6"/>
        <v>4500</v>
      </c>
      <c r="N9" s="25">
        <f t="shared" si="7"/>
        <v>0</v>
      </c>
      <c r="O9" s="25">
        <f t="shared" si="8"/>
        <v>0</v>
      </c>
      <c r="P9" s="25">
        <f t="shared" si="9"/>
        <v>49300</v>
      </c>
      <c r="R9" s="2" t="s">
        <v>140</v>
      </c>
    </row>
    <row r="10" spans="1:19" x14ac:dyDescent="0.25">
      <c r="A10" s="4" t="s">
        <v>104</v>
      </c>
      <c r="B10" s="19">
        <v>10500</v>
      </c>
      <c r="C10" s="24">
        <f t="shared" si="10"/>
        <v>0</v>
      </c>
      <c r="D10" s="24">
        <f t="shared" si="11"/>
        <v>0</v>
      </c>
      <c r="E10" s="24">
        <f t="shared" si="0"/>
        <v>10500</v>
      </c>
      <c r="F10" s="24">
        <f t="shared" si="1"/>
        <v>11</v>
      </c>
      <c r="G10" s="24">
        <f t="shared" si="12"/>
        <v>0</v>
      </c>
      <c r="H10" s="24">
        <f t="shared" si="13"/>
        <v>3</v>
      </c>
      <c r="I10" s="24">
        <f t="shared" si="2"/>
        <v>0</v>
      </c>
      <c r="J10" s="24">
        <f t="shared" si="3"/>
        <v>0</v>
      </c>
      <c r="K10" s="25">
        <f t="shared" si="4"/>
        <v>35200</v>
      </c>
      <c r="L10" s="25">
        <f t="shared" si="5"/>
        <v>0</v>
      </c>
      <c r="M10" s="25">
        <f t="shared" si="6"/>
        <v>2700</v>
      </c>
      <c r="N10" s="25">
        <f t="shared" si="7"/>
        <v>0</v>
      </c>
      <c r="O10" s="25">
        <f t="shared" si="8"/>
        <v>0</v>
      </c>
      <c r="P10" s="25">
        <f t="shared" si="9"/>
        <v>37900</v>
      </c>
    </row>
    <row r="11" spans="1:19" x14ac:dyDescent="0.25">
      <c r="A11" s="4" t="s">
        <v>108</v>
      </c>
      <c r="B11" s="19">
        <v>9000</v>
      </c>
      <c r="C11" s="24">
        <f t="shared" si="10"/>
        <v>0</v>
      </c>
      <c r="D11" s="24">
        <f t="shared" si="11"/>
        <v>0</v>
      </c>
      <c r="E11" s="24">
        <f t="shared" si="0"/>
        <v>9000</v>
      </c>
      <c r="F11" s="24">
        <f t="shared" si="1"/>
        <v>9</v>
      </c>
      <c r="G11" s="24">
        <f t="shared" si="12"/>
        <v>0</v>
      </c>
      <c r="H11" s="24">
        <f t="shared" si="13"/>
        <v>2</v>
      </c>
      <c r="I11" s="24">
        <f t="shared" si="2"/>
        <v>0</v>
      </c>
      <c r="J11" s="24">
        <f t="shared" si="3"/>
        <v>0</v>
      </c>
      <c r="K11" s="25">
        <f t="shared" si="4"/>
        <v>28800</v>
      </c>
      <c r="L11" s="25">
        <f t="shared" si="5"/>
        <v>0</v>
      </c>
      <c r="M11" s="25">
        <f t="shared" si="6"/>
        <v>1800</v>
      </c>
      <c r="N11" s="25">
        <f t="shared" si="7"/>
        <v>0</v>
      </c>
      <c r="O11" s="25">
        <f t="shared" si="8"/>
        <v>0</v>
      </c>
      <c r="P11" s="25">
        <f t="shared" si="9"/>
        <v>30600</v>
      </c>
    </row>
    <row r="12" spans="1:19" x14ac:dyDescent="0.25">
      <c r="A12" s="4" t="s">
        <v>112</v>
      </c>
      <c r="B12" s="19">
        <v>7000</v>
      </c>
      <c r="C12" s="24">
        <f t="shared" si="10"/>
        <v>0</v>
      </c>
      <c r="D12" s="24">
        <f t="shared" si="11"/>
        <v>0</v>
      </c>
      <c r="E12" s="24">
        <f t="shared" si="0"/>
        <v>7000</v>
      </c>
      <c r="F12" s="24">
        <f t="shared" si="1"/>
        <v>7</v>
      </c>
      <c r="G12" s="24">
        <f t="shared" si="12"/>
        <v>0</v>
      </c>
      <c r="H12" s="24">
        <f t="shared" si="13"/>
        <v>2</v>
      </c>
      <c r="I12" s="24">
        <f t="shared" si="2"/>
        <v>0</v>
      </c>
      <c r="J12" s="24">
        <f t="shared" si="3"/>
        <v>0</v>
      </c>
      <c r="K12" s="25">
        <f t="shared" si="4"/>
        <v>22400</v>
      </c>
      <c r="L12" s="25">
        <f t="shared" si="5"/>
        <v>0</v>
      </c>
      <c r="M12" s="25">
        <f t="shared" si="6"/>
        <v>1800</v>
      </c>
      <c r="N12" s="25">
        <f t="shared" si="7"/>
        <v>0</v>
      </c>
      <c r="O12" s="25">
        <f t="shared" si="8"/>
        <v>0</v>
      </c>
      <c r="P12" s="25">
        <f t="shared" si="9"/>
        <v>24200</v>
      </c>
    </row>
    <row r="13" spans="1:19" x14ac:dyDescent="0.25">
      <c r="A13" s="4" t="s">
        <v>115</v>
      </c>
      <c r="B13" s="19">
        <v>6000</v>
      </c>
      <c r="C13" s="24">
        <f t="shared" si="10"/>
        <v>0</v>
      </c>
      <c r="D13" s="24">
        <f t="shared" si="11"/>
        <v>0</v>
      </c>
      <c r="E13" s="24">
        <f t="shared" si="0"/>
        <v>6000</v>
      </c>
      <c r="F13" s="24">
        <f t="shared" si="1"/>
        <v>6</v>
      </c>
      <c r="G13" s="24">
        <f t="shared" si="12"/>
        <v>0</v>
      </c>
      <c r="H13" s="24">
        <f t="shared" si="13"/>
        <v>1</v>
      </c>
      <c r="I13" s="24">
        <f t="shared" si="2"/>
        <v>0</v>
      </c>
      <c r="J13" s="24">
        <f t="shared" si="3"/>
        <v>0</v>
      </c>
      <c r="K13" s="25">
        <f t="shared" si="4"/>
        <v>19200</v>
      </c>
      <c r="L13" s="25">
        <f t="shared" si="5"/>
        <v>0</v>
      </c>
      <c r="M13" s="25">
        <f t="shared" si="6"/>
        <v>900</v>
      </c>
      <c r="N13" s="25">
        <f t="shared" si="7"/>
        <v>0</v>
      </c>
      <c r="O13" s="25">
        <f t="shared" si="8"/>
        <v>0</v>
      </c>
      <c r="P13" s="25">
        <f t="shared" si="9"/>
        <v>20100</v>
      </c>
    </row>
    <row r="14" spans="1:19" x14ac:dyDescent="0.25">
      <c r="A14" s="27" t="s">
        <v>141</v>
      </c>
      <c r="B14" s="28"/>
      <c r="C14" s="28"/>
      <c r="D14" s="28"/>
      <c r="E14" s="29">
        <f>SUM(E2:E13)</f>
        <v>123600</v>
      </c>
      <c r="F14" s="28"/>
      <c r="G14" s="29">
        <f>SUM(G2:G13)</f>
        <v>14</v>
      </c>
      <c r="H14" s="29">
        <f>SUM(H2:H13)</f>
        <v>16</v>
      </c>
      <c r="I14" s="28"/>
      <c r="J14" s="28"/>
      <c r="K14" s="30">
        <f t="shared" ref="K14:P14" si="14">SUM(K2:K13)</f>
        <v>403200</v>
      </c>
      <c r="L14" s="30">
        <f t="shared" si="14"/>
        <v>8400</v>
      </c>
      <c r="M14" s="30">
        <f t="shared" si="14"/>
        <v>14400</v>
      </c>
      <c r="N14" s="30">
        <f t="shared" si="14"/>
        <v>0</v>
      </c>
      <c r="O14" s="30">
        <f t="shared" si="14"/>
        <v>0</v>
      </c>
      <c r="P14" s="30">
        <f t="shared" si="14"/>
        <v>426000</v>
      </c>
    </row>
  </sheetData>
  <sheetProtection sheet="1" formatCells="0" formatColumns="0" formatRows="0"/>
  <conditionalFormatting sqref="I2:I13">
    <cfRule type="expression" dxfId="5" priority="2">
      <formula>AND(ISNUMBER(I2),I2&gt;MaxInventory)</formula>
    </cfRule>
  </conditionalFormatting>
  <conditionalFormatting sqref="J2:J13">
    <cfRule type="cellIs" dxfId="4" priority="1" operator="greaterThan">
      <formula>0</formula>
    </cfRule>
  </conditionalFormatting>
  <pageMargins left="0.75" right="0.75" top="1" bottom="1" header="0.5" footer="0.5"/>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14"/>
  <sheetViews>
    <sheetView workbookViewId="0">
      <pane xSplit="2" ySplit="1" topLeftCell="C2" activePane="bottomRight" state="frozen"/>
      <selection pane="topRight"/>
      <selection pane="bottomLeft"/>
      <selection pane="bottomRight"/>
    </sheetView>
  </sheetViews>
  <sheetFormatPr defaultRowHeight="15" x14ac:dyDescent="0.25"/>
  <cols>
    <col min="1" max="1" width="11" customWidth="1"/>
    <col min="2" max="16" width="13" customWidth="1"/>
    <col min="18" max="18" width="52" customWidth="1"/>
    <col min="19" max="19" width="14" customWidth="1"/>
  </cols>
  <sheetData>
    <row r="1" spans="1:19" ht="48" customHeight="1" x14ac:dyDescent="0.25">
      <c r="A1" s="23" t="s">
        <v>69</v>
      </c>
      <c r="B1" s="23" t="s">
        <v>132</v>
      </c>
      <c r="C1" s="23" t="s">
        <v>31</v>
      </c>
      <c r="D1" s="23" t="s">
        <v>34</v>
      </c>
      <c r="E1" s="23" t="s">
        <v>36</v>
      </c>
      <c r="F1" s="23" t="s">
        <v>39</v>
      </c>
      <c r="G1" s="23" t="s">
        <v>42</v>
      </c>
      <c r="H1" s="23" t="s">
        <v>44</v>
      </c>
      <c r="I1" s="23" t="s">
        <v>46</v>
      </c>
      <c r="J1" s="23" t="s">
        <v>48</v>
      </c>
      <c r="K1" s="23" t="s">
        <v>50</v>
      </c>
      <c r="L1" s="23" t="s">
        <v>52</v>
      </c>
      <c r="M1" s="23" t="s">
        <v>54</v>
      </c>
      <c r="N1" s="23" t="s">
        <v>56</v>
      </c>
      <c r="O1" s="23" t="s">
        <v>58</v>
      </c>
      <c r="P1" s="23" t="s">
        <v>60</v>
      </c>
      <c r="R1" s="23" t="s">
        <v>133</v>
      </c>
      <c r="S1" s="23" t="s">
        <v>134</v>
      </c>
    </row>
    <row r="2" spans="1:19" x14ac:dyDescent="0.25">
      <c r="A2" s="4" t="s">
        <v>75</v>
      </c>
      <c r="B2" s="19">
        <v>7000</v>
      </c>
      <c r="C2" s="24">
        <f>BeginInv</f>
        <v>2400</v>
      </c>
      <c r="D2" s="24">
        <f>0</f>
        <v>0</v>
      </c>
      <c r="E2" s="24">
        <f t="shared" ref="E2:E13" si="0">$S$5</f>
        <v>10300</v>
      </c>
      <c r="F2" s="24">
        <f t="shared" ref="F2:F13" si="1">$S$6</f>
        <v>11</v>
      </c>
      <c r="G2" s="24">
        <f>MAX(0,F2-StartWorkers)</f>
        <v>3</v>
      </c>
      <c r="H2" s="24">
        <f>MAX(0,StartWorkers-F2)</f>
        <v>0</v>
      </c>
      <c r="I2" s="24">
        <f t="shared" ref="I2:I13" si="2">MAX(0,C2+E2-D2-B2)</f>
        <v>5700</v>
      </c>
      <c r="J2" s="24">
        <f t="shared" ref="J2:J13" si="3">MAX(0,B2+D2-C2-E2)</f>
        <v>0</v>
      </c>
      <c r="K2" s="25">
        <f t="shared" ref="K2:K13" si="4">F2*LaborCost</f>
        <v>35200</v>
      </c>
      <c r="L2" s="25">
        <f t="shared" ref="L2:L13" si="5">G2*HireCost</f>
        <v>1800</v>
      </c>
      <c r="M2" s="25">
        <f t="shared" ref="M2:M13" si="6">H2*LayoffCost</f>
        <v>0</v>
      </c>
      <c r="N2" s="25">
        <f t="shared" ref="N2:N13" si="7">I2*HoldCost</f>
        <v>1425</v>
      </c>
      <c r="O2" s="25">
        <f t="shared" ref="O2:O13" si="8">J2*BackorderCost</f>
        <v>0</v>
      </c>
      <c r="P2" s="25">
        <f t="shared" ref="P2:P13" si="9">SUM(K2:O2)</f>
        <v>38425</v>
      </c>
      <c r="R2" s="17" t="s">
        <v>135</v>
      </c>
      <c r="S2" s="26">
        <f>BottlesPerHour*HoursPerDay*DaysPerMonth</f>
        <v>1000</v>
      </c>
    </row>
    <row r="3" spans="1:19" x14ac:dyDescent="0.25">
      <c r="A3" s="4" t="s">
        <v>79</v>
      </c>
      <c r="B3" s="19">
        <v>6000</v>
      </c>
      <c r="C3" s="24">
        <f t="shared" ref="C3:C13" si="10">I2</f>
        <v>5700</v>
      </c>
      <c r="D3" s="24">
        <f t="shared" ref="D3:D13" si="11">J2</f>
        <v>0</v>
      </c>
      <c r="E3" s="24">
        <f t="shared" si="0"/>
        <v>10300</v>
      </c>
      <c r="F3" s="24">
        <f t="shared" si="1"/>
        <v>11</v>
      </c>
      <c r="G3" s="24">
        <f t="shared" ref="G3:G13" si="12">MAX(0,F3-F2)</f>
        <v>0</v>
      </c>
      <c r="H3" s="24">
        <f t="shared" ref="H3:H13" si="13">MAX(0,F2-F3)</f>
        <v>0</v>
      </c>
      <c r="I3" s="24">
        <f t="shared" si="2"/>
        <v>10000</v>
      </c>
      <c r="J3" s="24">
        <f t="shared" si="3"/>
        <v>0</v>
      </c>
      <c r="K3" s="25">
        <f t="shared" si="4"/>
        <v>35200</v>
      </c>
      <c r="L3" s="25">
        <f t="shared" si="5"/>
        <v>0</v>
      </c>
      <c r="M3" s="25">
        <f t="shared" si="6"/>
        <v>0</v>
      </c>
      <c r="N3" s="25">
        <f t="shared" si="7"/>
        <v>2500</v>
      </c>
      <c r="O3" s="25">
        <f t="shared" si="8"/>
        <v>0</v>
      </c>
      <c r="P3" s="25">
        <f t="shared" si="9"/>
        <v>37700</v>
      </c>
      <c r="R3" s="17" t="s">
        <v>142</v>
      </c>
      <c r="S3" s="26">
        <f>EndTarget</f>
        <v>0</v>
      </c>
    </row>
    <row r="4" spans="1:19" x14ac:dyDescent="0.25">
      <c r="A4" s="4" t="s">
        <v>82</v>
      </c>
      <c r="B4" s="19">
        <v>7000</v>
      </c>
      <c r="C4" s="24">
        <f t="shared" si="10"/>
        <v>10000</v>
      </c>
      <c r="D4" s="24">
        <f t="shared" si="11"/>
        <v>0</v>
      </c>
      <c r="E4" s="24">
        <f t="shared" si="0"/>
        <v>10300</v>
      </c>
      <c r="F4" s="24">
        <f t="shared" si="1"/>
        <v>11</v>
      </c>
      <c r="G4" s="24">
        <f t="shared" si="12"/>
        <v>0</v>
      </c>
      <c r="H4" s="24">
        <f t="shared" si="13"/>
        <v>0</v>
      </c>
      <c r="I4" s="24">
        <f t="shared" si="2"/>
        <v>13300</v>
      </c>
      <c r="J4" s="24">
        <f t="shared" si="3"/>
        <v>0</v>
      </c>
      <c r="K4" s="25">
        <f t="shared" si="4"/>
        <v>35200</v>
      </c>
      <c r="L4" s="25">
        <f t="shared" si="5"/>
        <v>0</v>
      </c>
      <c r="M4" s="25">
        <f t="shared" si="6"/>
        <v>0</v>
      </c>
      <c r="N4" s="25">
        <f t="shared" si="7"/>
        <v>3325</v>
      </c>
      <c r="O4" s="25">
        <f t="shared" si="8"/>
        <v>0</v>
      </c>
      <c r="P4" s="25">
        <f t="shared" si="9"/>
        <v>38525</v>
      </c>
      <c r="R4" s="17" t="s">
        <v>143</v>
      </c>
      <c r="S4" s="26">
        <f>SUM(B2:B13)</f>
        <v>126000</v>
      </c>
    </row>
    <row r="5" spans="1:19" x14ac:dyDescent="0.25">
      <c r="A5" s="4" t="s">
        <v>85</v>
      </c>
      <c r="B5" s="19">
        <v>11500</v>
      </c>
      <c r="C5" s="24">
        <f t="shared" si="10"/>
        <v>13300</v>
      </c>
      <c r="D5" s="24">
        <f t="shared" si="11"/>
        <v>0</v>
      </c>
      <c r="E5" s="24">
        <f t="shared" si="0"/>
        <v>10300</v>
      </c>
      <c r="F5" s="24">
        <f t="shared" si="1"/>
        <v>11</v>
      </c>
      <c r="G5" s="24">
        <f t="shared" si="12"/>
        <v>0</v>
      </c>
      <c r="H5" s="24">
        <f t="shared" si="13"/>
        <v>0</v>
      </c>
      <c r="I5" s="24">
        <f t="shared" si="2"/>
        <v>12100</v>
      </c>
      <c r="J5" s="24">
        <f t="shared" si="3"/>
        <v>0</v>
      </c>
      <c r="K5" s="25">
        <f t="shared" si="4"/>
        <v>35200</v>
      </c>
      <c r="L5" s="25">
        <f t="shared" si="5"/>
        <v>0</v>
      </c>
      <c r="M5" s="25">
        <f t="shared" si="6"/>
        <v>0</v>
      </c>
      <c r="N5" s="25">
        <f t="shared" si="7"/>
        <v>3025</v>
      </c>
      <c r="O5" s="25">
        <f t="shared" si="8"/>
        <v>0</v>
      </c>
      <c r="P5" s="25">
        <f t="shared" si="9"/>
        <v>38225</v>
      </c>
      <c r="R5" s="17" t="s">
        <v>144</v>
      </c>
      <c r="S5" s="26">
        <f>(S4+S3-BeginInv)/12</f>
        <v>10300</v>
      </c>
    </row>
    <row r="6" spans="1:19" x14ac:dyDescent="0.25">
      <c r="A6" s="4" t="s">
        <v>88</v>
      </c>
      <c r="B6" s="19">
        <v>13000</v>
      </c>
      <c r="C6" s="24">
        <f t="shared" si="10"/>
        <v>12100</v>
      </c>
      <c r="D6" s="24">
        <f t="shared" si="11"/>
        <v>0</v>
      </c>
      <c r="E6" s="24">
        <f t="shared" si="0"/>
        <v>10300</v>
      </c>
      <c r="F6" s="24">
        <f t="shared" si="1"/>
        <v>11</v>
      </c>
      <c r="G6" s="24">
        <f t="shared" si="12"/>
        <v>0</v>
      </c>
      <c r="H6" s="24">
        <f t="shared" si="13"/>
        <v>0</v>
      </c>
      <c r="I6" s="24">
        <f t="shared" si="2"/>
        <v>9400</v>
      </c>
      <c r="J6" s="24">
        <f t="shared" si="3"/>
        <v>0</v>
      </c>
      <c r="K6" s="25">
        <f t="shared" si="4"/>
        <v>35200</v>
      </c>
      <c r="L6" s="25">
        <f t="shared" si="5"/>
        <v>0</v>
      </c>
      <c r="M6" s="25">
        <f t="shared" si="6"/>
        <v>0</v>
      </c>
      <c r="N6" s="25">
        <f t="shared" si="7"/>
        <v>2350</v>
      </c>
      <c r="O6" s="25">
        <f t="shared" si="8"/>
        <v>0</v>
      </c>
      <c r="P6" s="25">
        <f t="shared" si="9"/>
        <v>37550</v>
      </c>
      <c r="R6" s="17" t="s">
        <v>145</v>
      </c>
      <c r="S6" s="26">
        <f>ROUNDUP(S5/S2,0)</f>
        <v>11</v>
      </c>
    </row>
    <row r="7" spans="1:19" x14ac:dyDescent="0.25">
      <c r="A7" s="4" t="s">
        <v>92</v>
      </c>
      <c r="B7" s="19">
        <v>16500</v>
      </c>
      <c r="C7" s="24">
        <f t="shared" si="10"/>
        <v>9400</v>
      </c>
      <c r="D7" s="24">
        <f t="shared" si="11"/>
        <v>0</v>
      </c>
      <c r="E7" s="24">
        <f t="shared" si="0"/>
        <v>10300</v>
      </c>
      <c r="F7" s="24">
        <f t="shared" si="1"/>
        <v>11</v>
      </c>
      <c r="G7" s="24">
        <f t="shared" si="12"/>
        <v>0</v>
      </c>
      <c r="H7" s="24">
        <f t="shared" si="13"/>
        <v>0</v>
      </c>
      <c r="I7" s="24">
        <f t="shared" si="2"/>
        <v>3200</v>
      </c>
      <c r="J7" s="24">
        <f t="shared" si="3"/>
        <v>0</v>
      </c>
      <c r="K7" s="25">
        <f t="shared" si="4"/>
        <v>35200</v>
      </c>
      <c r="L7" s="25">
        <f t="shared" si="5"/>
        <v>0</v>
      </c>
      <c r="M7" s="25">
        <f t="shared" si="6"/>
        <v>0</v>
      </c>
      <c r="N7" s="25">
        <f t="shared" si="7"/>
        <v>800</v>
      </c>
      <c r="O7" s="25">
        <f t="shared" si="8"/>
        <v>0</v>
      </c>
      <c r="P7" s="25">
        <f t="shared" si="9"/>
        <v>36000</v>
      </c>
    </row>
    <row r="8" spans="1:19" x14ac:dyDescent="0.25">
      <c r="A8" s="4" t="s">
        <v>96</v>
      </c>
      <c r="B8" s="19">
        <v>18500</v>
      </c>
      <c r="C8" s="24">
        <f t="shared" si="10"/>
        <v>3200</v>
      </c>
      <c r="D8" s="24">
        <f t="shared" si="11"/>
        <v>0</v>
      </c>
      <c r="E8" s="24">
        <f t="shared" si="0"/>
        <v>10300</v>
      </c>
      <c r="F8" s="24">
        <f t="shared" si="1"/>
        <v>11</v>
      </c>
      <c r="G8" s="24">
        <f t="shared" si="12"/>
        <v>0</v>
      </c>
      <c r="H8" s="24">
        <f t="shared" si="13"/>
        <v>0</v>
      </c>
      <c r="I8" s="24">
        <f t="shared" si="2"/>
        <v>0</v>
      </c>
      <c r="J8" s="24">
        <f t="shared" si="3"/>
        <v>5000</v>
      </c>
      <c r="K8" s="25">
        <f t="shared" si="4"/>
        <v>35200</v>
      </c>
      <c r="L8" s="25">
        <f t="shared" si="5"/>
        <v>0</v>
      </c>
      <c r="M8" s="25">
        <f t="shared" si="6"/>
        <v>0</v>
      </c>
      <c r="N8" s="25">
        <f t="shared" si="7"/>
        <v>0</v>
      </c>
      <c r="O8" s="25">
        <f t="shared" si="8"/>
        <v>7500</v>
      </c>
      <c r="P8" s="25">
        <f t="shared" si="9"/>
        <v>42700</v>
      </c>
      <c r="R8" s="2" t="s">
        <v>146</v>
      </c>
    </row>
    <row r="9" spans="1:19" x14ac:dyDescent="0.25">
      <c r="A9" s="4" t="s">
        <v>100</v>
      </c>
      <c r="B9" s="19">
        <v>14000</v>
      </c>
      <c r="C9" s="24">
        <f t="shared" si="10"/>
        <v>0</v>
      </c>
      <c r="D9" s="24">
        <f t="shared" si="11"/>
        <v>5000</v>
      </c>
      <c r="E9" s="24">
        <f t="shared" si="0"/>
        <v>10300</v>
      </c>
      <c r="F9" s="24">
        <f t="shared" si="1"/>
        <v>11</v>
      </c>
      <c r="G9" s="24">
        <f t="shared" si="12"/>
        <v>0</v>
      </c>
      <c r="H9" s="24">
        <f t="shared" si="13"/>
        <v>0</v>
      </c>
      <c r="I9" s="24">
        <f t="shared" si="2"/>
        <v>0</v>
      </c>
      <c r="J9" s="24">
        <f t="shared" si="3"/>
        <v>8700</v>
      </c>
      <c r="K9" s="25">
        <f t="shared" si="4"/>
        <v>35200</v>
      </c>
      <c r="L9" s="25">
        <f t="shared" si="5"/>
        <v>0</v>
      </c>
      <c r="M9" s="25">
        <f t="shared" si="6"/>
        <v>0</v>
      </c>
      <c r="N9" s="25">
        <f t="shared" si="7"/>
        <v>0</v>
      </c>
      <c r="O9" s="25">
        <f t="shared" si="8"/>
        <v>13050</v>
      </c>
      <c r="P9" s="25">
        <f t="shared" si="9"/>
        <v>48250</v>
      </c>
      <c r="R9" s="2" t="s">
        <v>147</v>
      </c>
    </row>
    <row r="10" spans="1:19" x14ac:dyDescent="0.25">
      <c r="A10" s="4" t="s">
        <v>104</v>
      </c>
      <c r="B10" s="19">
        <v>10500</v>
      </c>
      <c r="C10" s="24">
        <f t="shared" si="10"/>
        <v>0</v>
      </c>
      <c r="D10" s="24">
        <f t="shared" si="11"/>
        <v>8700</v>
      </c>
      <c r="E10" s="24">
        <f t="shared" si="0"/>
        <v>10300</v>
      </c>
      <c r="F10" s="24">
        <f t="shared" si="1"/>
        <v>11</v>
      </c>
      <c r="G10" s="24">
        <f t="shared" si="12"/>
        <v>0</v>
      </c>
      <c r="H10" s="24">
        <f t="shared" si="13"/>
        <v>0</v>
      </c>
      <c r="I10" s="24">
        <f t="shared" si="2"/>
        <v>0</v>
      </c>
      <c r="J10" s="24">
        <f t="shared" si="3"/>
        <v>8900</v>
      </c>
      <c r="K10" s="25">
        <f t="shared" si="4"/>
        <v>35200</v>
      </c>
      <c r="L10" s="25">
        <f t="shared" si="5"/>
        <v>0</v>
      </c>
      <c r="M10" s="25">
        <f t="shared" si="6"/>
        <v>0</v>
      </c>
      <c r="N10" s="25">
        <f t="shared" si="7"/>
        <v>0</v>
      </c>
      <c r="O10" s="25">
        <f t="shared" si="8"/>
        <v>13350</v>
      </c>
      <c r="P10" s="25">
        <f t="shared" si="9"/>
        <v>48550</v>
      </c>
      <c r="R10" s="2" t="s">
        <v>148</v>
      </c>
    </row>
    <row r="11" spans="1:19" x14ac:dyDescent="0.25">
      <c r="A11" s="4" t="s">
        <v>108</v>
      </c>
      <c r="B11" s="19">
        <v>9000</v>
      </c>
      <c r="C11" s="24">
        <f t="shared" si="10"/>
        <v>0</v>
      </c>
      <c r="D11" s="24">
        <f t="shared" si="11"/>
        <v>8900</v>
      </c>
      <c r="E11" s="24">
        <f t="shared" si="0"/>
        <v>10300</v>
      </c>
      <c r="F11" s="24">
        <f t="shared" si="1"/>
        <v>11</v>
      </c>
      <c r="G11" s="24">
        <f t="shared" si="12"/>
        <v>0</v>
      </c>
      <c r="H11" s="24">
        <f t="shared" si="13"/>
        <v>0</v>
      </c>
      <c r="I11" s="24">
        <f t="shared" si="2"/>
        <v>0</v>
      </c>
      <c r="J11" s="24">
        <f t="shared" si="3"/>
        <v>7600</v>
      </c>
      <c r="K11" s="25">
        <f t="shared" si="4"/>
        <v>35200</v>
      </c>
      <c r="L11" s="25">
        <f t="shared" si="5"/>
        <v>0</v>
      </c>
      <c r="M11" s="25">
        <f t="shared" si="6"/>
        <v>0</v>
      </c>
      <c r="N11" s="25">
        <f t="shared" si="7"/>
        <v>0</v>
      </c>
      <c r="O11" s="25">
        <f t="shared" si="8"/>
        <v>11400</v>
      </c>
      <c r="P11" s="25">
        <f t="shared" si="9"/>
        <v>46600</v>
      </c>
    </row>
    <row r="12" spans="1:19" x14ac:dyDescent="0.25">
      <c r="A12" s="4" t="s">
        <v>112</v>
      </c>
      <c r="B12" s="19">
        <v>7000</v>
      </c>
      <c r="C12" s="24">
        <f t="shared" si="10"/>
        <v>0</v>
      </c>
      <c r="D12" s="24">
        <f t="shared" si="11"/>
        <v>7600</v>
      </c>
      <c r="E12" s="24">
        <f t="shared" si="0"/>
        <v>10300</v>
      </c>
      <c r="F12" s="24">
        <f t="shared" si="1"/>
        <v>11</v>
      </c>
      <c r="G12" s="24">
        <f t="shared" si="12"/>
        <v>0</v>
      </c>
      <c r="H12" s="24">
        <f t="shared" si="13"/>
        <v>0</v>
      </c>
      <c r="I12" s="24">
        <f t="shared" si="2"/>
        <v>0</v>
      </c>
      <c r="J12" s="24">
        <f t="shared" si="3"/>
        <v>4300</v>
      </c>
      <c r="K12" s="25">
        <f t="shared" si="4"/>
        <v>35200</v>
      </c>
      <c r="L12" s="25">
        <f t="shared" si="5"/>
        <v>0</v>
      </c>
      <c r="M12" s="25">
        <f t="shared" si="6"/>
        <v>0</v>
      </c>
      <c r="N12" s="25">
        <f t="shared" si="7"/>
        <v>0</v>
      </c>
      <c r="O12" s="25">
        <f t="shared" si="8"/>
        <v>6450</v>
      </c>
      <c r="P12" s="25">
        <f t="shared" si="9"/>
        <v>41650</v>
      </c>
      <c r="R12" s="2" t="s">
        <v>140</v>
      </c>
    </row>
    <row r="13" spans="1:19" x14ac:dyDescent="0.25">
      <c r="A13" s="4" t="s">
        <v>115</v>
      </c>
      <c r="B13" s="19">
        <v>6000</v>
      </c>
      <c r="C13" s="24">
        <f t="shared" si="10"/>
        <v>0</v>
      </c>
      <c r="D13" s="24">
        <f t="shared" si="11"/>
        <v>4300</v>
      </c>
      <c r="E13" s="24">
        <f t="shared" si="0"/>
        <v>10300</v>
      </c>
      <c r="F13" s="24">
        <f t="shared" si="1"/>
        <v>11</v>
      </c>
      <c r="G13" s="24">
        <f t="shared" si="12"/>
        <v>0</v>
      </c>
      <c r="H13" s="24">
        <f t="shared" si="13"/>
        <v>0</v>
      </c>
      <c r="I13" s="24">
        <f t="shared" si="2"/>
        <v>0</v>
      </c>
      <c r="J13" s="24">
        <f t="shared" si="3"/>
        <v>0</v>
      </c>
      <c r="K13" s="25">
        <f t="shared" si="4"/>
        <v>35200</v>
      </c>
      <c r="L13" s="25">
        <f t="shared" si="5"/>
        <v>0</v>
      </c>
      <c r="M13" s="25">
        <f t="shared" si="6"/>
        <v>0</v>
      </c>
      <c r="N13" s="25">
        <f t="shared" si="7"/>
        <v>0</v>
      </c>
      <c r="O13" s="25">
        <f t="shared" si="8"/>
        <v>0</v>
      </c>
      <c r="P13" s="25">
        <f t="shared" si="9"/>
        <v>35200</v>
      </c>
    </row>
    <row r="14" spans="1:19" x14ac:dyDescent="0.25">
      <c r="A14" s="27" t="s">
        <v>141</v>
      </c>
      <c r="B14" s="28"/>
      <c r="C14" s="28"/>
      <c r="D14" s="28"/>
      <c r="E14" s="29">
        <f>SUM(E2:E13)</f>
        <v>123600</v>
      </c>
      <c r="F14" s="28"/>
      <c r="G14" s="29">
        <f>SUM(G2:G13)</f>
        <v>3</v>
      </c>
      <c r="H14" s="29">
        <f>SUM(H2:H13)</f>
        <v>0</v>
      </c>
      <c r="I14" s="28"/>
      <c r="J14" s="28"/>
      <c r="K14" s="30">
        <f t="shared" ref="K14:P14" si="14">SUM(K2:K13)</f>
        <v>422400</v>
      </c>
      <c r="L14" s="30">
        <f t="shared" si="14"/>
        <v>1800</v>
      </c>
      <c r="M14" s="30">
        <f t="shared" si="14"/>
        <v>0</v>
      </c>
      <c r="N14" s="30">
        <f t="shared" si="14"/>
        <v>13425</v>
      </c>
      <c r="O14" s="30">
        <f t="shared" si="14"/>
        <v>51750</v>
      </c>
      <c r="P14" s="30">
        <f t="shared" si="14"/>
        <v>489375</v>
      </c>
    </row>
  </sheetData>
  <sheetProtection sheet="1" formatCells="0" formatColumns="0" formatRows="0"/>
  <conditionalFormatting sqref="I2:I13">
    <cfRule type="expression" dxfId="3" priority="2">
      <formula>AND(ISNUMBER(I2),I2&gt;MaxInventory)</formula>
    </cfRule>
  </conditionalFormatting>
  <conditionalFormatting sqref="J2:J13">
    <cfRule type="cellIs" dxfId="2" priority="1" operator="greaterThan">
      <formula>0</formula>
    </cfRule>
  </conditionalFormatting>
  <pageMargins left="0.75" right="0.75" top="1" bottom="1" header="0.5" footer="0.5"/>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4"/>
  <sheetViews>
    <sheetView workbookViewId="0">
      <pane xSplit="2" ySplit="1" topLeftCell="C2" activePane="bottomRight" state="frozen"/>
      <selection pane="topRight"/>
      <selection pane="bottomLeft"/>
      <selection pane="bottomRight"/>
    </sheetView>
  </sheetViews>
  <sheetFormatPr defaultRowHeight="15" x14ac:dyDescent="0.25"/>
  <cols>
    <col min="1" max="1" width="11" customWidth="1"/>
    <col min="2" max="22" width="13" customWidth="1"/>
    <col min="24" max="24" width="52" customWidth="1"/>
    <col min="25" max="25" width="14" customWidth="1"/>
  </cols>
  <sheetData>
    <row r="1" spans="1:25" ht="48" customHeight="1" x14ac:dyDescent="0.25">
      <c r="A1" s="23" t="s">
        <v>69</v>
      </c>
      <c r="B1" s="23" t="s">
        <v>132</v>
      </c>
      <c r="C1" s="23" t="s">
        <v>31</v>
      </c>
      <c r="D1" s="23" t="s">
        <v>34</v>
      </c>
      <c r="E1" s="23" t="s">
        <v>149</v>
      </c>
      <c r="F1" s="23" t="s">
        <v>150</v>
      </c>
      <c r="G1" s="23" t="s">
        <v>151</v>
      </c>
      <c r="H1" s="23" t="s">
        <v>152</v>
      </c>
      <c r="I1" s="23" t="s">
        <v>153</v>
      </c>
      <c r="J1" s="23" t="s">
        <v>154</v>
      </c>
      <c r="K1" s="23" t="s">
        <v>42</v>
      </c>
      <c r="L1" s="23" t="s">
        <v>44</v>
      </c>
      <c r="M1" s="23" t="s">
        <v>46</v>
      </c>
      <c r="N1" s="23" t="s">
        <v>48</v>
      </c>
      <c r="O1" s="23" t="s">
        <v>50</v>
      </c>
      <c r="P1" s="23" t="s">
        <v>52</v>
      </c>
      <c r="Q1" s="23" t="s">
        <v>54</v>
      </c>
      <c r="R1" s="23" t="s">
        <v>155</v>
      </c>
      <c r="S1" s="23" t="s">
        <v>156</v>
      </c>
      <c r="T1" s="23" t="s">
        <v>56</v>
      </c>
      <c r="U1" s="23" t="s">
        <v>58</v>
      </c>
      <c r="V1" s="23" t="s">
        <v>60</v>
      </c>
      <c r="X1" s="23" t="s">
        <v>133</v>
      </c>
      <c r="Y1" s="23" t="s">
        <v>134</v>
      </c>
    </row>
    <row r="2" spans="1:25" x14ac:dyDescent="0.25">
      <c r="A2" s="4" t="s">
        <v>75</v>
      </c>
      <c r="B2" s="19">
        <v>7000</v>
      </c>
      <c r="C2" s="24">
        <f>BeginInv</f>
        <v>2400</v>
      </c>
      <c r="D2" s="24">
        <f>0</f>
        <v>0</v>
      </c>
      <c r="E2" s="31">
        <v>11</v>
      </c>
      <c r="F2" s="24">
        <f t="shared" ref="F2:F13" si="0">E2*$Y$2</f>
        <v>11000</v>
      </c>
      <c r="G2" s="31">
        <v>11000</v>
      </c>
      <c r="H2" s="31">
        <v>0</v>
      </c>
      <c r="I2" s="31">
        <v>0</v>
      </c>
      <c r="J2" s="24">
        <f t="shared" ref="J2:J13" si="1">G2+H2+I2</f>
        <v>11000</v>
      </c>
      <c r="K2" s="24">
        <f>MAX(0,E2-StartWorkers)</f>
        <v>3</v>
      </c>
      <c r="L2" s="24">
        <f>MAX(0,StartWorkers-E2)</f>
        <v>0</v>
      </c>
      <c r="M2" s="24">
        <f t="shared" ref="M2:M13" si="2">MAX(0,C2+J2-D2-B2)</f>
        <v>6400</v>
      </c>
      <c r="N2" s="24">
        <f t="shared" ref="N2:N13" si="3">MAX(0,B2+D2-C2-J2)</f>
        <v>0</v>
      </c>
      <c r="O2" s="25">
        <f t="shared" ref="O2:O13" si="4">E2*LaborCost</f>
        <v>35200</v>
      </c>
      <c r="P2" s="25">
        <f t="shared" ref="P2:P13" si="5">K2*HireCost</f>
        <v>1800</v>
      </c>
      <c r="Q2" s="25">
        <f t="shared" ref="Q2:Q13" si="6">L2*LayoffCost</f>
        <v>0</v>
      </c>
      <c r="R2" s="25">
        <f t="shared" ref="R2:R13" si="7">H2*OTCost</f>
        <v>0</v>
      </c>
      <c r="S2" s="25">
        <f t="shared" ref="S2:S13" si="8">I2*SubCost</f>
        <v>0</v>
      </c>
      <c r="T2" s="25">
        <f t="shared" ref="T2:T13" si="9">M2*HoldCost</f>
        <v>1600</v>
      </c>
      <c r="U2" s="25">
        <f t="shared" ref="U2:U13" si="10">N2*BackorderCost</f>
        <v>0</v>
      </c>
      <c r="V2" s="25">
        <f t="shared" ref="V2:V13" si="11">SUM(O2:U2)</f>
        <v>38600</v>
      </c>
      <c r="X2" s="17" t="s">
        <v>135</v>
      </c>
      <c r="Y2" s="26">
        <f>BottlesPerHour*HoursPerDay*DaysPerMonth</f>
        <v>1000</v>
      </c>
    </row>
    <row r="3" spans="1:25" x14ac:dyDescent="0.25">
      <c r="A3" s="4" t="s">
        <v>79</v>
      </c>
      <c r="B3" s="19">
        <v>6000</v>
      </c>
      <c r="C3" s="24">
        <f t="shared" ref="C3:C13" si="12">M2</f>
        <v>6400</v>
      </c>
      <c r="D3" s="24">
        <f t="shared" ref="D3:D13" si="13">N2</f>
        <v>0</v>
      </c>
      <c r="E3" s="31">
        <v>11</v>
      </c>
      <c r="F3" s="24">
        <f t="shared" si="0"/>
        <v>11000</v>
      </c>
      <c r="G3" s="31">
        <v>11000</v>
      </c>
      <c r="H3" s="31">
        <v>0</v>
      </c>
      <c r="I3" s="31">
        <v>0</v>
      </c>
      <c r="J3" s="24">
        <f t="shared" si="1"/>
        <v>11000</v>
      </c>
      <c r="K3" s="24">
        <f t="shared" ref="K3:K13" si="14">MAX(0,E3-E2)</f>
        <v>0</v>
      </c>
      <c r="L3" s="24">
        <f t="shared" ref="L3:L13" si="15">MAX(0,E2-E3)</f>
        <v>0</v>
      </c>
      <c r="M3" s="24">
        <f t="shared" si="2"/>
        <v>11400</v>
      </c>
      <c r="N3" s="24">
        <f t="shared" si="3"/>
        <v>0</v>
      </c>
      <c r="O3" s="25">
        <f t="shared" si="4"/>
        <v>35200</v>
      </c>
      <c r="P3" s="25">
        <f t="shared" si="5"/>
        <v>0</v>
      </c>
      <c r="Q3" s="25">
        <f t="shared" si="6"/>
        <v>0</v>
      </c>
      <c r="R3" s="25">
        <f t="shared" si="7"/>
        <v>0</v>
      </c>
      <c r="S3" s="25">
        <f t="shared" si="8"/>
        <v>0</v>
      </c>
      <c r="T3" s="25">
        <f t="shared" si="9"/>
        <v>2850</v>
      </c>
      <c r="U3" s="25">
        <f t="shared" si="10"/>
        <v>0</v>
      </c>
      <c r="V3" s="25">
        <f t="shared" si="11"/>
        <v>38050</v>
      </c>
      <c r="X3" s="17" t="s">
        <v>157</v>
      </c>
      <c r="Y3" s="26">
        <f>Y2*OTLimitPct</f>
        <v>200</v>
      </c>
    </row>
    <row r="4" spans="1:25" x14ac:dyDescent="0.25">
      <c r="A4" s="4" t="s">
        <v>82</v>
      </c>
      <c r="B4" s="19">
        <v>7000</v>
      </c>
      <c r="C4" s="24">
        <f t="shared" si="12"/>
        <v>11400</v>
      </c>
      <c r="D4" s="24">
        <f t="shared" si="13"/>
        <v>0</v>
      </c>
      <c r="E4" s="31">
        <v>11</v>
      </c>
      <c r="F4" s="24">
        <f t="shared" si="0"/>
        <v>11000</v>
      </c>
      <c r="G4" s="31">
        <v>11000</v>
      </c>
      <c r="H4" s="31">
        <v>0</v>
      </c>
      <c r="I4" s="31">
        <v>0</v>
      </c>
      <c r="J4" s="24">
        <f t="shared" si="1"/>
        <v>11000</v>
      </c>
      <c r="K4" s="24">
        <f t="shared" si="14"/>
        <v>0</v>
      </c>
      <c r="L4" s="24">
        <f t="shared" si="15"/>
        <v>0</v>
      </c>
      <c r="M4" s="24">
        <f t="shared" si="2"/>
        <v>15400</v>
      </c>
      <c r="N4" s="24">
        <f t="shared" si="3"/>
        <v>0</v>
      </c>
      <c r="O4" s="25">
        <f t="shared" si="4"/>
        <v>35200</v>
      </c>
      <c r="P4" s="25">
        <f t="shared" si="5"/>
        <v>0</v>
      </c>
      <c r="Q4" s="25">
        <f t="shared" si="6"/>
        <v>0</v>
      </c>
      <c r="R4" s="25">
        <f t="shared" si="7"/>
        <v>0</v>
      </c>
      <c r="S4" s="25">
        <f t="shared" si="8"/>
        <v>0</v>
      </c>
      <c r="T4" s="25">
        <f t="shared" si="9"/>
        <v>3850</v>
      </c>
      <c r="U4" s="25">
        <f t="shared" si="10"/>
        <v>0</v>
      </c>
      <c r="V4" s="25">
        <f t="shared" si="11"/>
        <v>39050</v>
      </c>
    </row>
    <row r="5" spans="1:25" x14ac:dyDescent="0.25">
      <c r="A5" s="4" t="s">
        <v>85</v>
      </c>
      <c r="B5" s="19">
        <v>11500</v>
      </c>
      <c r="C5" s="24">
        <f t="shared" si="12"/>
        <v>15400</v>
      </c>
      <c r="D5" s="24">
        <f t="shared" si="13"/>
        <v>0</v>
      </c>
      <c r="E5" s="31">
        <v>11</v>
      </c>
      <c r="F5" s="24">
        <f t="shared" si="0"/>
        <v>11000</v>
      </c>
      <c r="G5" s="31">
        <v>11000</v>
      </c>
      <c r="H5" s="31">
        <v>0</v>
      </c>
      <c r="I5" s="31">
        <v>0</v>
      </c>
      <c r="J5" s="24">
        <f t="shared" si="1"/>
        <v>11000</v>
      </c>
      <c r="K5" s="24">
        <f t="shared" si="14"/>
        <v>0</v>
      </c>
      <c r="L5" s="24">
        <f t="shared" si="15"/>
        <v>0</v>
      </c>
      <c r="M5" s="24">
        <f t="shared" si="2"/>
        <v>14900</v>
      </c>
      <c r="N5" s="24">
        <f t="shared" si="3"/>
        <v>0</v>
      </c>
      <c r="O5" s="25">
        <f t="shared" si="4"/>
        <v>35200</v>
      </c>
      <c r="P5" s="25">
        <f t="shared" si="5"/>
        <v>0</v>
      </c>
      <c r="Q5" s="25">
        <f t="shared" si="6"/>
        <v>0</v>
      </c>
      <c r="R5" s="25">
        <f t="shared" si="7"/>
        <v>0</v>
      </c>
      <c r="S5" s="25">
        <f t="shared" si="8"/>
        <v>0</v>
      </c>
      <c r="T5" s="25">
        <f t="shared" si="9"/>
        <v>3725</v>
      </c>
      <c r="U5" s="25">
        <f t="shared" si="10"/>
        <v>0</v>
      </c>
      <c r="V5" s="25">
        <f t="shared" si="11"/>
        <v>38925</v>
      </c>
      <c r="X5" s="2" t="s">
        <v>158</v>
      </c>
    </row>
    <row r="6" spans="1:25" x14ac:dyDescent="0.25">
      <c r="A6" s="4" t="s">
        <v>88</v>
      </c>
      <c r="B6" s="19">
        <v>13000</v>
      </c>
      <c r="C6" s="24">
        <f t="shared" si="12"/>
        <v>14900</v>
      </c>
      <c r="D6" s="24">
        <f t="shared" si="13"/>
        <v>0</v>
      </c>
      <c r="E6" s="31">
        <v>11</v>
      </c>
      <c r="F6" s="24">
        <f t="shared" si="0"/>
        <v>11000</v>
      </c>
      <c r="G6" s="31">
        <v>11000</v>
      </c>
      <c r="H6" s="31">
        <v>0</v>
      </c>
      <c r="I6" s="31">
        <v>0</v>
      </c>
      <c r="J6" s="24">
        <f t="shared" si="1"/>
        <v>11000</v>
      </c>
      <c r="K6" s="24">
        <f t="shared" si="14"/>
        <v>0</v>
      </c>
      <c r="L6" s="24">
        <f t="shared" si="15"/>
        <v>0</v>
      </c>
      <c r="M6" s="24">
        <f t="shared" si="2"/>
        <v>12900</v>
      </c>
      <c r="N6" s="24">
        <f t="shared" si="3"/>
        <v>0</v>
      </c>
      <c r="O6" s="25">
        <f t="shared" si="4"/>
        <v>35200</v>
      </c>
      <c r="P6" s="25">
        <f t="shared" si="5"/>
        <v>0</v>
      </c>
      <c r="Q6" s="25">
        <f t="shared" si="6"/>
        <v>0</v>
      </c>
      <c r="R6" s="25">
        <f t="shared" si="7"/>
        <v>0</v>
      </c>
      <c r="S6" s="25">
        <f t="shared" si="8"/>
        <v>0</v>
      </c>
      <c r="T6" s="25">
        <f t="shared" si="9"/>
        <v>3225</v>
      </c>
      <c r="U6" s="25">
        <f t="shared" si="10"/>
        <v>0</v>
      </c>
      <c r="V6" s="25">
        <f t="shared" si="11"/>
        <v>38425</v>
      </c>
      <c r="X6" s="2" t="s">
        <v>159</v>
      </c>
    </row>
    <row r="7" spans="1:25" x14ac:dyDescent="0.25">
      <c r="A7" s="4" t="s">
        <v>92</v>
      </c>
      <c r="B7" s="19">
        <v>16500</v>
      </c>
      <c r="C7" s="24">
        <f t="shared" si="12"/>
        <v>12900</v>
      </c>
      <c r="D7" s="24">
        <f t="shared" si="13"/>
        <v>0</v>
      </c>
      <c r="E7" s="31">
        <v>11</v>
      </c>
      <c r="F7" s="24">
        <f t="shared" si="0"/>
        <v>11000</v>
      </c>
      <c r="G7" s="31">
        <v>11000</v>
      </c>
      <c r="H7" s="31">
        <v>1000</v>
      </c>
      <c r="I7" s="31">
        <v>0</v>
      </c>
      <c r="J7" s="24">
        <f t="shared" si="1"/>
        <v>12000</v>
      </c>
      <c r="K7" s="24">
        <f t="shared" si="14"/>
        <v>0</v>
      </c>
      <c r="L7" s="24">
        <f t="shared" si="15"/>
        <v>0</v>
      </c>
      <c r="M7" s="24">
        <f t="shared" si="2"/>
        <v>8400</v>
      </c>
      <c r="N7" s="24">
        <f t="shared" si="3"/>
        <v>0</v>
      </c>
      <c r="O7" s="25">
        <f t="shared" si="4"/>
        <v>35200</v>
      </c>
      <c r="P7" s="25">
        <f t="shared" si="5"/>
        <v>0</v>
      </c>
      <c r="Q7" s="25">
        <f t="shared" si="6"/>
        <v>0</v>
      </c>
      <c r="R7" s="25">
        <f t="shared" si="7"/>
        <v>4500</v>
      </c>
      <c r="S7" s="25">
        <f t="shared" si="8"/>
        <v>0</v>
      </c>
      <c r="T7" s="25">
        <f t="shared" si="9"/>
        <v>2100</v>
      </c>
      <c r="U7" s="25">
        <f t="shared" si="10"/>
        <v>0</v>
      </c>
      <c r="V7" s="25">
        <f t="shared" si="11"/>
        <v>41800</v>
      </c>
      <c r="X7" s="2" t="s">
        <v>160</v>
      </c>
    </row>
    <row r="8" spans="1:25" x14ac:dyDescent="0.25">
      <c r="A8" s="4" t="s">
        <v>96</v>
      </c>
      <c r="B8" s="19">
        <v>18500</v>
      </c>
      <c r="C8" s="24">
        <f t="shared" si="12"/>
        <v>8400</v>
      </c>
      <c r="D8" s="24">
        <f t="shared" si="13"/>
        <v>0</v>
      </c>
      <c r="E8" s="31">
        <v>11</v>
      </c>
      <c r="F8" s="24">
        <f t="shared" si="0"/>
        <v>11000</v>
      </c>
      <c r="G8" s="31">
        <v>11000</v>
      </c>
      <c r="H8" s="31">
        <v>2000</v>
      </c>
      <c r="I8" s="31">
        <v>0</v>
      </c>
      <c r="J8" s="24">
        <f t="shared" si="1"/>
        <v>13000</v>
      </c>
      <c r="K8" s="24">
        <f t="shared" si="14"/>
        <v>0</v>
      </c>
      <c r="L8" s="24">
        <f t="shared" si="15"/>
        <v>0</v>
      </c>
      <c r="M8" s="24">
        <f t="shared" si="2"/>
        <v>2900</v>
      </c>
      <c r="N8" s="24">
        <f t="shared" si="3"/>
        <v>0</v>
      </c>
      <c r="O8" s="25">
        <f t="shared" si="4"/>
        <v>35200</v>
      </c>
      <c r="P8" s="25">
        <f t="shared" si="5"/>
        <v>0</v>
      </c>
      <c r="Q8" s="25">
        <f t="shared" si="6"/>
        <v>0</v>
      </c>
      <c r="R8" s="25">
        <f t="shared" si="7"/>
        <v>9000</v>
      </c>
      <c r="S8" s="25">
        <f t="shared" si="8"/>
        <v>0</v>
      </c>
      <c r="T8" s="25">
        <f t="shared" si="9"/>
        <v>725</v>
      </c>
      <c r="U8" s="25">
        <f t="shared" si="10"/>
        <v>0</v>
      </c>
      <c r="V8" s="25">
        <f t="shared" si="11"/>
        <v>44925</v>
      </c>
      <c r="X8" s="2" t="s">
        <v>161</v>
      </c>
    </row>
    <row r="9" spans="1:25" x14ac:dyDescent="0.25">
      <c r="A9" s="4" t="s">
        <v>100</v>
      </c>
      <c r="B9" s="19">
        <v>14000</v>
      </c>
      <c r="C9" s="24">
        <f t="shared" si="12"/>
        <v>2900</v>
      </c>
      <c r="D9" s="24">
        <f t="shared" si="13"/>
        <v>0</v>
      </c>
      <c r="E9" s="31">
        <v>11</v>
      </c>
      <c r="F9" s="24">
        <f t="shared" si="0"/>
        <v>11000</v>
      </c>
      <c r="G9" s="31">
        <v>11000</v>
      </c>
      <c r="H9" s="31">
        <v>0</v>
      </c>
      <c r="I9" s="31">
        <v>0</v>
      </c>
      <c r="J9" s="24">
        <f t="shared" si="1"/>
        <v>11000</v>
      </c>
      <c r="K9" s="24">
        <f t="shared" si="14"/>
        <v>0</v>
      </c>
      <c r="L9" s="24">
        <f t="shared" si="15"/>
        <v>0</v>
      </c>
      <c r="M9" s="24">
        <f t="shared" si="2"/>
        <v>0</v>
      </c>
      <c r="N9" s="24">
        <f t="shared" si="3"/>
        <v>100</v>
      </c>
      <c r="O9" s="25">
        <f t="shared" si="4"/>
        <v>35200</v>
      </c>
      <c r="P9" s="25">
        <f t="shared" si="5"/>
        <v>0</v>
      </c>
      <c r="Q9" s="25">
        <f t="shared" si="6"/>
        <v>0</v>
      </c>
      <c r="R9" s="25">
        <f t="shared" si="7"/>
        <v>0</v>
      </c>
      <c r="S9" s="25">
        <f t="shared" si="8"/>
        <v>0</v>
      </c>
      <c r="T9" s="25">
        <f t="shared" si="9"/>
        <v>0</v>
      </c>
      <c r="U9" s="25">
        <f t="shared" si="10"/>
        <v>150</v>
      </c>
      <c r="V9" s="25">
        <f t="shared" si="11"/>
        <v>35350</v>
      </c>
      <c r="X9" s="2" t="s">
        <v>162</v>
      </c>
    </row>
    <row r="10" spans="1:25" x14ac:dyDescent="0.25">
      <c r="A10" s="4" t="s">
        <v>104</v>
      </c>
      <c r="B10" s="19">
        <v>10500</v>
      </c>
      <c r="C10" s="24">
        <f t="shared" si="12"/>
        <v>0</v>
      </c>
      <c r="D10" s="24">
        <f t="shared" si="13"/>
        <v>100</v>
      </c>
      <c r="E10" s="31">
        <v>11</v>
      </c>
      <c r="F10" s="24">
        <f t="shared" si="0"/>
        <v>11000</v>
      </c>
      <c r="G10" s="31">
        <v>11000</v>
      </c>
      <c r="H10" s="31">
        <v>0</v>
      </c>
      <c r="I10" s="31">
        <v>0</v>
      </c>
      <c r="J10" s="24">
        <f t="shared" si="1"/>
        <v>11000</v>
      </c>
      <c r="K10" s="24">
        <f t="shared" si="14"/>
        <v>0</v>
      </c>
      <c r="L10" s="24">
        <f t="shared" si="15"/>
        <v>0</v>
      </c>
      <c r="M10" s="24">
        <f t="shared" si="2"/>
        <v>400</v>
      </c>
      <c r="N10" s="24">
        <f t="shared" si="3"/>
        <v>0</v>
      </c>
      <c r="O10" s="25">
        <f t="shared" si="4"/>
        <v>35200</v>
      </c>
      <c r="P10" s="25">
        <f t="shared" si="5"/>
        <v>0</v>
      </c>
      <c r="Q10" s="25">
        <f t="shared" si="6"/>
        <v>0</v>
      </c>
      <c r="R10" s="25">
        <f t="shared" si="7"/>
        <v>0</v>
      </c>
      <c r="S10" s="25">
        <f t="shared" si="8"/>
        <v>0</v>
      </c>
      <c r="T10" s="25">
        <f t="shared" si="9"/>
        <v>100</v>
      </c>
      <c r="U10" s="25">
        <f t="shared" si="10"/>
        <v>0</v>
      </c>
      <c r="V10" s="25">
        <f t="shared" si="11"/>
        <v>35300</v>
      </c>
    </row>
    <row r="11" spans="1:25" x14ac:dyDescent="0.25">
      <c r="A11" s="4" t="s">
        <v>108</v>
      </c>
      <c r="B11" s="19">
        <v>9000</v>
      </c>
      <c r="C11" s="24">
        <f t="shared" si="12"/>
        <v>400</v>
      </c>
      <c r="D11" s="24">
        <f t="shared" si="13"/>
        <v>0</v>
      </c>
      <c r="E11" s="31">
        <v>11</v>
      </c>
      <c r="F11" s="24">
        <f t="shared" si="0"/>
        <v>11000</v>
      </c>
      <c r="G11" s="31">
        <v>11000</v>
      </c>
      <c r="H11" s="31">
        <v>0</v>
      </c>
      <c r="I11" s="31">
        <v>0</v>
      </c>
      <c r="J11" s="24">
        <f t="shared" si="1"/>
        <v>11000</v>
      </c>
      <c r="K11" s="24">
        <f t="shared" si="14"/>
        <v>0</v>
      </c>
      <c r="L11" s="24">
        <f t="shared" si="15"/>
        <v>0</v>
      </c>
      <c r="M11" s="24">
        <f t="shared" si="2"/>
        <v>2400</v>
      </c>
      <c r="N11" s="24">
        <f t="shared" si="3"/>
        <v>0</v>
      </c>
      <c r="O11" s="25">
        <f t="shared" si="4"/>
        <v>35200</v>
      </c>
      <c r="P11" s="25">
        <f t="shared" si="5"/>
        <v>0</v>
      </c>
      <c r="Q11" s="25">
        <f t="shared" si="6"/>
        <v>0</v>
      </c>
      <c r="R11" s="25">
        <f t="shared" si="7"/>
        <v>0</v>
      </c>
      <c r="S11" s="25">
        <f t="shared" si="8"/>
        <v>0</v>
      </c>
      <c r="T11" s="25">
        <f t="shared" si="9"/>
        <v>600</v>
      </c>
      <c r="U11" s="25">
        <f t="shared" si="10"/>
        <v>0</v>
      </c>
      <c r="V11" s="25">
        <f t="shared" si="11"/>
        <v>35800</v>
      </c>
      <c r="X11" s="2" t="s">
        <v>140</v>
      </c>
    </row>
    <row r="12" spans="1:25" x14ac:dyDescent="0.25">
      <c r="A12" s="4" t="s">
        <v>112</v>
      </c>
      <c r="B12" s="19">
        <v>7000</v>
      </c>
      <c r="C12" s="24">
        <f t="shared" si="12"/>
        <v>2400</v>
      </c>
      <c r="D12" s="24">
        <f t="shared" si="13"/>
        <v>0</v>
      </c>
      <c r="E12" s="31">
        <v>11</v>
      </c>
      <c r="F12" s="24">
        <f t="shared" si="0"/>
        <v>11000</v>
      </c>
      <c r="G12" s="31">
        <v>11000</v>
      </c>
      <c r="H12" s="31">
        <v>0</v>
      </c>
      <c r="I12" s="31">
        <v>0</v>
      </c>
      <c r="J12" s="24">
        <f t="shared" si="1"/>
        <v>11000</v>
      </c>
      <c r="K12" s="24">
        <f t="shared" si="14"/>
        <v>0</v>
      </c>
      <c r="L12" s="24">
        <f t="shared" si="15"/>
        <v>0</v>
      </c>
      <c r="M12" s="24">
        <f t="shared" si="2"/>
        <v>6400</v>
      </c>
      <c r="N12" s="24">
        <f t="shared" si="3"/>
        <v>0</v>
      </c>
      <c r="O12" s="25">
        <f t="shared" si="4"/>
        <v>35200</v>
      </c>
      <c r="P12" s="25">
        <f t="shared" si="5"/>
        <v>0</v>
      </c>
      <c r="Q12" s="25">
        <f t="shared" si="6"/>
        <v>0</v>
      </c>
      <c r="R12" s="25">
        <f t="shared" si="7"/>
        <v>0</v>
      </c>
      <c r="S12" s="25">
        <f t="shared" si="8"/>
        <v>0</v>
      </c>
      <c r="T12" s="25">
        <f t="shared" si="9"/>
        <v>1600</v>
      </c>
      <c r="U12" s="25">
        <f t="shared" si="10"/>
        <v>0</v>
      </c>
      <c r="V12" s="25">
        <f t="shared" si="11"/>
        <v>36800</v>
      </c>
    </row>
    <row r="13" spans="1:25" x14ac:dyDescent="0.25">
      <c r="A13" s="4" t="s">
        <v>115</v>
      </c>
      <c r="B13" s="19">
        <v>6000</v>
      </c>
      <c r="C13" s="24">
        <f t="shared" si="12"/>
        <v>6400</v>
      </c>
      <c r="D13" s="24">
        <f t="shared" si="13"/>
        <v>0</v>
      </c>
      <c r="E13" s="31">
        <v>11</v>
      </c>
      <c r="F13" s="24">
        <f t="shared" si="0"/>
        <v>11000</v>
      </c>
      <c r="G13" s="31">
        <v>11000</v>
      </c>
      <c r="H13" s="31">
        <v>0</v>
      </c>
      <c r="I13" s="31">
        <v>0</v>
      </c>
      <c r="J13" s="24">
        <f t="shared" si="1"/>
        <v>11000</v>
      </c>
      <c r="K13" s="24">
        <f t="shared" si="14"/>
        <v>0</v>
      </c>
      <c r="L13" s="24">
        <f t="shared" si="15"/>
        <v>0</v>
      </c>
      <c r="M13" s="24">
        <f t="shared" si="2"/>
        <v>11400</v>
      </c>
      <c r="N13" s="24">
        <f t="shared" si="3"/>
        <v>0</v>
      </c>
      <c r="O13" s="25">
        <f t="shared" si="4"/>
        <v>35200</v>
      </c>
      <c r="P13" s="25">
        <f t="shared" si="5"/>
        <v>0</v>
      </c>
      <c r="Q13" s="25">
        <f t="shared" si="6"/>
        <v>0</v>
      </c>
      <c r="R13" s="25">
        <f t="shared" si="7"/>
        <v>0</v>
      </c>
      <c r="S13" s="25">
        <f t="shared" si="8"/>
        <v>0</v>
      </c>
      <c r="T13" s="25">
        <f t="shared" si="9"/>
        <v>2850</v>
      </c>
      <c r="U13" s="25">
        <f t="shared" si="10"/>
        <v>0</v>
      </c>
      <c r="V13" s="25">
        <f t="shared" si="11"/>
        <v>38050</v>
      </c>
    </row>
    <row r="14" spans="1:25" x14ac:dyDescent="0.25">
      <c r="A14" s="27" t="s">
        <v>141</v>
      </c>
      <c r="B14" s="28"/>
      <c r="C14" s="28"/>
      <c r="D14" s="28"/>
      <c r="E14" s="28"/>
      <c r="F14" s="29">
        <f t="shared" ref="F14:L14" si="16">SUM(F2:F13)</f>
        <v>132000</v>
      </c>
      <c r="G14" s="29">
        <f t="shared" si="16"/>
        <v>132000</v>
      </c>
      <c r="H14" s="29">
        <f t="shared" si="16"/>
        <v>3000</v>
      </c>
      <c r="I14" s="29">
        <f t="shared" si="16"/>
        <v>0</v>
      </c>
      <c r="J14" s="29">
        <f t="shared" si="16"/>
        <v>135000</v>
      </c>
      <c r="K14" s="29">
        <f t="shared" si="16"/>
        <v>3</v>
      </c>
      <c r="L14" s="29">
        <f t="shared" si="16"/>
        <v>0</v>
      </c>
      <c r="M14" s="28"/>
      <c r="N14" s="28"/>
      <c r="O14" s="30">
        <f t="shared" ref="O14:V14" si="17">SUM(O2:O13)</f>
        <v>422400</v>
      </c>
      <c r="P14" s="30">
        <f t="shared" si="17"/>
        <v>1800</v>
      </c>
      <c r="Q14" s="30">
        <f t="shared" si="17"/>
        <v>0</v>
      </c>
      <c r="R14" s="30">
        <f t="shared" si="17"/>
        <v>13500</v>
      </c>
      <c r="S14" s="30">
        <f t="shared" si="17"/>
        <v>0</v>
      </c>
      <c r="T14" s="30">
        <f t="shared" si="17"/>
        <v>23225</v>
      </c>
      <c r="U14" s="30">
        <f t="shared" si="17"/>
        <v>150</v>
      </c>
      <c r="V14" s="30">
        <f t="shared" si="17"/>
        <v>461075</v>
      </c>
    </row>
  </sheetData>
  <sheetProtection sheet="1" formatCells="0" formatColumns="0" formatRows="0"/>
  <conditionalFormatting sqref="M2:M13">
    <cfRule type="expression" dxfId="1" priority="2">
      <formula>AND(ISNUMBER(M2),M2&gt;MaxInventory)</formula>
    </cfRule>
  </conditionalFormatting>
  <conditionalFormatting sqref="N2:N13">
    <cfRule type="cellIs" dxfId="0" priority="1" operator="greaterThan">
      <formula>0</formula>
    </cfRule>
  </conditionalFormatting>
  <pageMargins left="0.75" right="0.75" top="1" bottom="1" header="0.5" footer="0.5"/>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30"/>
  <sheetViews>
    <sheetView showGridLines="0" workbookViewId="0"/>
  </sheetViews>
  <sheetFormatPr defaultRowHeight="15" x14ac:dyDescent="0.25"/>
  <cols>
    <col min="1" max="1" width="40" customWidth="1"/>
    <col min="2" max="3" width="17" customWidth="1"/>
    <col min="4" max="4" width="19" customWidth="1"/>
    <col min="5" max="5" width="52" customWidth="1"/>
  </cols>
  <sheetData>
    <row r="1" spans="1:5" ht="21" x14ac:dyDescent="0.35">
      <c r="A1" s="1" t="s">
        <v>163</v>
      </c>
    </row>
    <row r="3" spans="1:5" x14ac:dyDescent="0.25">
      <c r="A3" s="23" t="s">
        <v>164</v>
      </c>
      <c r="B3" s="23" t="s">
        <v>165</v>
      </c>
      <c r="C3" s="23" t="s">
        <v>166</v>
      </c>
      <c r="D3" s="23" t="s">
        <v>167</v>
      </c>
      <c r="E3" s="23" t="s">
        <v>168</v>
      </c>
    </row>
    <row r="4" spans="1:5" x14ac:dyDescent="0.25">
      <c r="A4" s="17" t="s">
        <v>169</v>
      </c>
      <c r="B4" s="25">
        <f>'Chase Plan'!K14</f>
        <v>403200</v>
      </c>
      <c r="C4" s="25">
        <f>'Level Plan'!K14</f>
        <v>422400</v>
      </c>
      <c r="D4" s="25">
        <f>'Hybrid Plan'!O14</f>
        <v>422400</v>
      </c>
      <c r="E4" s="2" t="s">
        <v>170</v>
      </c>
    </row>
    <row r="5" spans="1:5" x14ac:dyDescent="0.25">
      <c r="A5" s="17" t="s">
        <v>171</v>
      </c>
      <c r="B5" s="25">
        <f>'Chase Plan'!L14</f>
        <v>8400</v>
      </c>
      <c r="C5" s="25">
        <f>'Level Plan'!L14</f>
        <v>1800</v>
      </c>
      <c r="D5" s="25">
        <f>'Hybrid Plan'!P14</f>
        <v>1800</v>
      </c>
      <c r="E5" s="2" t="s">
        <v>172</v>
      </c>
    </row>
    <row r="6" spans="1:5" x14ac:dyDescent="0.25">
      <c r="A6" s="17" t="s">
        <v>173</v>
      </c>
      <c r="B6" s="25">
        <f>'Chase Plan'!M14</f>
        <v>14400</v>
      </c>
      <c r="C6" s="25">
        <f>'Level Plan'!M14</f>
        <v>0</v>
      </c>
      <c r="D6" s="25">
        <f>'Hybrid Plan'!Q14</f>
        <v>0</v>
      </c>
      <c r="E6" s="2" t="s">
        <v>174</v>
      </c>
    </row>
    <row r="7" spans="1:5" x14ac:dyDescent="0.25">
      <c r="A7" s="17" t="s">
        <v>175</v>
      </c>
      <c r="B7" s="32" t="s">
        <v>176</v>
      </c>
      <c r="C7" s="32" t="s">
        <v>176</v>
      </c>
      <c r="D7" s="25">
        <f>'Hybrid Plan'!R14</f>
        <v>13500</v>
      </c>
      <c r="E7" s="2" t="s">
        <v>177</v>
      </c>
    </row>
    <row r="8" spans="1:5" x14ac:dyDescent="0.25">
      <c r="A8" s="17" t="s">
        <v>178</v>
      </c>
      <c r="B8" s="32" t="s">
        <v>176</v>
      </c>
      <c r="C8" s="32" t="s">
        <v>176</v>
      </c>
      <c r="D8" s="25">
        <f>'Hybrid Plan'!S14</f>
        <v>0</v>
      </c>
      <c r="E8" s="2" t="s">
        <v>177</v>
      </c>
    </row>
    <row r="9" spans="1:5" x14ac:dyDescent="0.25">
      <c r="A9" s="17" t="s">
        <v>179</v>
      </c>
      <c r="B9" s="25">
        <f>'Chase Plan'!N14</f>
        <v>0</v>
      </c>
      <c r="C9" s="25">
        <f>'Level Plan'!N14</f>
        <v>13425</v>
      </c>
      <c r="D9" s="25">
        <f>'Hybrid Plan'!T14</f>
        <v>23225</v>
      </c>
      <c r="E9" s="2" t="s">
        <v>180</v>
      </c>
    </row>
    <row r="10" spans="1:5" x14ac:dyDescent="0.25">
      <c r="A10" s="17" t="s">
        <v>181</v>
      </c>
      <c r="B10" s="25">
        <f>'Chase Plan'!O14</f>
        <v>0</v>
      </c>
      <c r="C10" s="25">
        <f>'Level Plan'!O14</f>
        <v>51750</v>
      </c>
      <c r="D10" s="25">
        <f>'Hybrid Plan'!U14</f>
        <v>150</v>
      </c>
      <c r="E10" s="2" t="s">
        <v>182</v>
      </c>
    </row>
    <row r="11" spans="1:5" x14ac:dyDescent="0.25">
      <c r="A11" s="16" t="s">
        <v>183</v>
      </c>
      <c r="B11" s="33">
        <f>'Chase Plan'!P14</f>
        <v>426000</v>
      </c>
      <c r="C11" s="33">
        <f>'Level Plan'!P14</f>
        <v>489375</v>
      </c>
      <c r="D11" s="33">
        <f>'Hybrid Plan'!V14</f>
        <v>461075</v>
      </c>
      <c r="E11" s="2" t="s">
        <v>184</v>
      </c>
    </row>
    <row r="12" spans="1:5" x14ac:dyDescent="0.25">
      <c r="A12" s="17" t="s">
        <v>185</v>
      </c>
      <c r="B12" s="24">
        <f>'Chase Plan'!G14</f>
        <v>14</v>
      </c>
      <c r="C12" s="24">
        <f>'Level Plan'!G14</f>
        <v>3</v>
      </c>
      <c r="D12" s="24">
        <f>'Hybrid Plan'!K14</f>
        <v>3</v>
      </c>
      <c r="E12" s="2" t="s">
        <v>186</v>
      </c>
    </row>
    <row r="13" spans="1:5" x14ac:dyDescent="0.25">
      <c r="A13" s="17" t="s">
        <v>187</v>
      </c>
      <c r="B13" s="24">
        <f>'Chase Plan'!H14</f>
        <v>16</v>
      </c>
      <c r="C13" s="24">
        <f>'Level Plan'!H14</f>
        <v>0</v>
      </c>
      <c r="D13" s="24">
        <f>'Hybrid Plan'!L14</f>
        <v>0</v>
      </c>
      <c r="E13" s="2" t="s">
        <v>188</v>
      </c>
    </row>
    <row r="14" spans="1:5" x14ac:dyDescent="0.25">
      <c r="A14" s="17" t="s">
        <v>189</v>
      </c>
      <c r="B14" s="24">
        <f>MAX('Chase Plan'!F2:F13)</f>
        <v>19</v>
      </c>
      <c r="C14" s="24">
        <f>MAX('Level Plan'!F2:F13)</f>
        <v>11</v>
      </c>
      <c r="D14" s="24">
        <f>MAX('Hybrid Plan'!E2:E13)</f>
        <v>11</v>
      </c>
      <c r="E14" s="2" t="s">
        <v>190</v>
      </c>
    </row>
    <row r="15" spans="1:5" x14ac:dyDescent="0.25">
      <c r="A15" s="17" t="s">
        <v>191</v>
      </c>
      <c r="B15" s="24">
        <f>MAX('Chase Plan'!I2:I13)</f>
        <v>0</v>
      </c>
      <c r="C15" s="24">
        <f>MAX('Level Plan'!I2:I13)</f>
        <v>13300</v>
      </c>
      <c r="D15" s="24">
        <f>MAX('Hybrid Plan'!M2:M13)</f>
        <v>15400</v>
      </c>
      <c r="E15" s="2" t="s">
        <v>192</v>
      </c>
    </row>
    <row r="16" spans="1:5" x14ac:dyDescent="0.25">
      <c r="A16" s="17" t="s">
        <v>193</v>
      </c>
      <c r="B16" s="24">
        <f>COUNTIF('Chase Plan'!J2:J13,"&gt;0")</f>
        <v>0</v>
      </c>
      <c r="C16" s="24">
        <f>COUNTIF('Level Plan'!J2:J13,"&gt;0")</f>
        <v>5</v>
      </c>
      <c r="D16" s="24">
        <f>COUNTIF('Hybrid Plan'!N2:N13,"&gt;0")</f>
        <v>1</v>
      </c>
      <c r="E16" s="2" t="s">
        <v>194</v>
      </c>
    </row>
    <row r="18" spans="1:5" x14ac:dyDescent="0.25">
      <c r="A18" s="16" t="s">
        <v>195</v>
      </c>
      <c r="B18" s="34" t="str">
        <f>IF(B11&lt;C11,"Chase","Level")</f>
        <v>Chase</v>
      </c>
      <c r="E18" s="2" t="s">
        <v>196</v>
      </c>
    </row>
    <row r="19" spans="1:5" x14ac:dyDescent="0.25">
      <c r="A19" s="16" t="s">
        <v>197</v>
      </c>
      <c r="B19" s="25">
        <f>ABS(B11-C11)</f>
        <v>63375</v>
      </c>
      <c r="E19" s="2" t="s">
        <v>198</v>
      </c>
    </row>
    <row r="21" spans="1:5" x14ac:dyDescent="0.25">
      <c r="A21" s="16" t="s">
        <v>199</v>
      </c>
      <c r="B21" s="34" t="s">
        <v>165</v>
      </c>
      <c r="E21" s="2" t="s">
        <v>200</v>
      </c>
    </row>
    <row r="22" spans="1:5" x14ac:dyDescent="0.25">
      <c r="A22" s="14" t="s">
        <v>201</v>
      </c>
      <c r="B22" s="41" t="s">
        <v>202</v>
      </c>
      <c r="C22" s="39"/>
      <c r="D22" s="39"/>
      <c r="E22" s="39"/>
    </row>
    <row r="23" spans="1:5" x14ac:dyDescent="0.25">
      <c r="A23" s="38" t="s">
        <v>203</v>
      </c>
      <c r="B23" s="39"/>
      <c r="C23" s="39"/>
      <c r="D23" s="39"/>
      <c r="E23" s="39"/>
    </row>
    <row r="24" spans="1:5" x14ac:dyDescent="0.25">
      <c r="A24" s="39"/>
      <c r="B24" s="39"/>
      <c r="C24" s="39"/>
      <c r="D24" s="39"/>
      <c r="E24" s="39"/>
    </row>
    <row r="25" spans="1:5" x14ac:dyDescent="0.25">
      <c r="A25" s="39"/>
      <c r="B25" s="39"/>
      <c r="C25" s="39"/>
      <c r="D25" s="39"/>
      <c r="E25" s="39"/>
    </row>
    <row r="26" spans="1:5" x14ac:dyDescent="0.25">
      <c r="A26" s="39"/>
      <c r="B26" s="39"/>
      <c r="C26" s="39"/>
      <c r="D26" s="39"/>
      <c r="E26" s="39"/>
    </row>
    <row r="27" spans="1:5" x14ac:dyDescent="0.25">
      <c r="A27" s="39"/>
      <c r="B27" s="39"/>
      <c r="C27" s="39"/>
      <c r="D27" s="39"/>
      <c r="E27" s="39"/>
    </row>
    <row r="28" spans="1:5" x14ac:dyDescent="0.25">
      <c r="B28" s="39"/>
      <c r="C28" s="39"/>
      <c r="D28" s="39"/>
      <c r="E28" s="39"/>
    </row>
    <row r="29" spans="1:5" x14ac:dyDescent="0.25">
      <c r="B29" s="39"/>
      <c r="C29" s="39"/>
      <c r="D29" s="39"/>
      <c r="E29" s="39"/>
    </row>
    <row r="30" spans="1:5" x14ac:dyDescent="0.25">
      <c r="B30" s="39"/>
      <c r="C30" s="39"/>
      <c r="D30" s="39"/>
      <c r="E30" s="39"/>
    </row>
  </sheetData>
  <sheetProtection sheet="1" formatCells="0" formatColumns="0" formatRows="0"/>
  <mergeCells count="2">
    <mergeCell ref="A23:A27"/>
    <mergeCell ref="B22:E30"/>
  </mergeCells>
  <dataValidations count="1">
    <dataValidation type="list" allowBlank="1" promptTitle="Recommendation" prompt="Pick the plan you recommend" sqref="B21" xr:uid="{00000000-0002-0000-0500-000000000000}">
      <formula1>"Chase,Level,Hybrid"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36"/>
  <sheetViews>
    <sheetView showGridLines="0" workbookViewId="0"/>
  </sheetViews>
  <sheetFormatPr defaultRowHeight="15" x14ac:dyDescent="0.25"/>
  <cols>
    <col min="1" max="2" width="30" customWidth="1"/>
    <col min="3" max="3" width="70" customWidth="1"/>
  </cols>
  <sheetData>
    <row r="1" spans="1:3" ht="21" x14ac:dyDescent="0.35">
      <c r="A1" s="1" t="s">
        <v>204</v>
      </c>
    </row>
    <row r="3" spans="1:3" ht="15.75" x14ac:dyDescent="0.25">
      <c r="A3" s="6" t="s">
        <v>205</v>
      </c>
    </row>
    <row r="4" spans="1:3" ht="45" customHeight="1" x14ac:dyDescent="0.25">
      <c r="A4" s="7" t="s">
        <v>206</v>
      </c>
      <c r="B4" s="40" t="s">
        <v>207</v>
      </c>
      <c r="C4" s="39"/>
    </row>
    <row r="5" spans="1:3" ht="45" customHeight="1" x14ac:dyDescent="0.25">
      <c r="A5" s="7" t="s">
        <v>208</v>
      </c>
      <c r="B5" s="40" t="s">
        <v>209</v>
      </c>
      <c r="C5" s="39"/>
    </row>
    <row r="6" spans="1:3" ht="45" customHeight="1" x14ac:dyDescent="0.25">
      <c r="A6" s="7" t="s">
        <v>210</v>
      </c>
      <c r="B6" s="40" t="s">
        <v>211</v>
      </c>
      <c r="C6" s="39"/>
    </row>
    <row r="7" spans="1:3" ht="45" customHeight="1" x14ac:dyDescent="0.25">
      <c r="A7" s="7" t="s">
        <v>212</v>
      </c>
      <c r="B7" s="40" t="s">
        <v>213</v>
      </c>
      <c r="C7" s="39"/>
    </row>
    <row r="8" spans="1:3" ht="45" customHeight="1" x14ac:dyDescent="0.25">
      <c r="A8" s="7" t="s">
        <v>214</v>
      </c>
      <c r="B8" s="40" t="s">
        <v>215</v>
      </c>
      <c r="C8" s="39"/>
    </row>
    <row r="9" spans="1:3" ht="45" customHeight="1" x14ac:dyDescent="0.25">
      <c r="A9" s="7" t="s">
        <v>216</v>
      </c>
      <c r="B9" s="40" t="s">
        <v>217</v>
      </c>
      <c r="C9" s="39"/>
    </row>
    <row r="11" spans="1:3" ht="15.75" x14ac:dyDescent="0.25">
      <c r="A11" s="6" t="s">
        <v>218</v>
      </c>
    </row>
    <row r="12" spans="1:3" x14ac:dyDescent="0.25">
      <c r="A12" s="3" t="s">
        <v>219</v>
      </c>
      <c r="B12" s="35" t="s">
        <v>220</v>
      </c>
      <c r="C12" s="8" t="s">
        <v>221</v>
      </c>
    </row>
    <row r="13" spans="1:3" x14ac:dyDescent="0.25">
      <c r="A13" s="3" t="s">
        <v>222</v>
      </c>
      <c r="B13" s="35" t="s">
        <v>223</v>
      </c>
      <c r="C13" s="8" t="s">
        <v>224</v>
      </c>
    </row>
    <row r="14" spans="1:3" x14ac:dyDescent="0.25">
      <c r="A14" s="3" t="s">
        <v>225</v>
      </c>
      <c r="B14" s="35" t="s">
        <v>226</v>
      </c>
      <c r="C14" s="8" t="s">
        <v>227</v>
      </c>
    </row>
    <row r="15" spans="1:3" x14ac:dyDescent="0.25">
      <c r="A15" s="3" t="s">
        <v>228</v>
      </c>
      <c r="B15" s="35" t="s">
        <v>229</v>
      </c>
      <c r="C15" s="8" t="s">
        <v>230</v>
      </c>
    </row>
    <row r="16" spans="1:3" x14ac:dyDescent="0.25">
      <c r="A16" s="3" t="s">
        <v>231</v>
      </c>
      <c r="B16" s="35" t="s">
        <v>232</v>
      </c>
      <c r="C16" s="8" t="s">
        <v>233</v>
      </c>
    </row>
    <row r="17" spans="1:3" x14ac:dyDescent="0.25">
      <c r="A17" s="3" t="s">
        <v>234</v>
      </c>
      <c r="B17" s="35" t="s">
        <v>235</v>
      </c>
      <c r="C17" s="8" t="s">
        <v>236</v>
      </c>
    </row>
    <row r="18" spans="1:3" x14ac:dyDescent="0.25">
      <c r="A18" s="3" t="s">
        <v>237</v>
      </c>
      <c r="B18" s="35" t="s">
        <v>238</v>
      </c>
      <c r="C18" s="8" t="s">
        <v>239</v>
      </c>
    </row>
    <row r="20" spans="1:3" ht="15.75" x14ac:dyDescent="0.25">
      <c r="A20" s="6" t="s">
        <v>240</v>
      </c>
    </row>
    <row r="21" spans="1:3" ht="30" customHeight="1" x14ac:dyDescent="0.25">
      <c r="A21" s="3" t="s">
        <v>241</v>
      </c>
      <c r="B21" s="40" t="s">
        <v>242</v>
      </c>
      <c r="C21" s="39"/>
    </row>
    <row r="22" spans="1:3" ht="30" customHeight="1" x14ac:dyDescent="0.25">
      <c r="A22" s="3" t="s">
        <v>243</v>
      </c>
      <c r="B22" s="40" t="s">
        <v>244</v>
      </c>
      <c r="C22" s="39"/>
    </row>
    <row r="23" spans="1:3" ht="30" customHeight="1" x14ac:dyDescent="0.25">
      <c r="A23" s="3" t="s">
        <v>245</v>
      </c>
      <c r="B23" s="40" t="s">
        <v>246</v>
      </c>
      <c r="C23" s="39"/>
    </row>
    <row r="24" spans="1:3" ht="30" customHeight="1" x14ac:dyDescent="0.25">
      <c r="A24" s="3" t="s">
        <v>247</v>
      </c>
      <c r="B24" s="40" t="s">
        <v>248</v>
      </c>
      <c r="C24" s="39"/>
    </row>
    <row r="25" spans="1:3" ht="30" customHeight="1" x14ac:dyDescent="0.25">
      <c r="A25" s="3" t="s">
        <v>249</v>
      </c>
      <c r="B25" s="40" t="s">
        <v>250</v>
      </c>
      <c r="C25" s="39"/>
    </row>
    <row r="27" spans="1:3" ht="15.75" x14ac:dyDescent="0.25">
      <c r="A27" s="6" t="s">
        <v>251</v>
      </c>
    </row>
    <row r="28" spans="1:3" ht="32.1" customHeight="1" x14ac:dyDescent="0.25">
      <c r="A28" s="40" t="s">
        <v>252</v>
      </c>
      <c r="B28" s="39"/>
      <c r="C28" s="39"/>
    </row>
    <row r="30" spans="1:3" x14ac:dyDescent="0.25">
      <c r="A30" s="3" t="s">
        <v>253</v>
      </c>
      <c r="B30" s="36">
        <v>0.25</v>
      </c>
    </row>
    <row r="31" spans="1:3" x14ac:dyDescent="0.25">
      <c r="A31" t="s">
        <v>254</v>
      </c>
      <c r="B31" s="37">
        <v>1200</v>
      </c>
      <c r="C31" s="25"/>
    </row>
    <row r="32" spans="1:3" x14ac:dyDescent="0.25">
      <c r="A32" t="s">
        <v>255</v>
      </c>
      <c r="B32" s="37">
        <v>850</v>
      </c>
      <c r="C32" s="25"/>
    </row>
    <row r="33" spans="1:3" x14ac:dyDescent="0.25">
      <c r="A33" t="s">
        <v>256</v>
      </c>
      <c r="B33" s="37">
        <v>1500</v>
      </c>
      <c r="C33" s="25"/>
    </row>
    <row r="34" spans="1:3" x14ac:dyDescent="0.25">
      <c r="A34" t="s">
        <v>257</v>
      </c>
      <c r="B34" s="37">
        <v>2300</v>
      </c>
      <c r="C34" s="25"/>
    </row>
    <row r="35" spans="1:3" x14ac:dyDescent="0.25">
      <c r="A35" t="s">
        <v>258</v>
      </c>
      <c r="B35" s="37">
        <v>975</v>
      </c>
      <c r="C35" s="25"/>
    </row>
    <row r="36" spans="1:3" x14ac:dyDescent="0.25">
      <c r="A36" t="s">
        <v>259</v>
      </c>
      <c r="B36" s="37">
        <v>1840</v>
      </c>
      <c r="C36" s="25"/>
    </row>
  </sheetData>
  <sheetProtection sheet="1" formatCells="0" formatColumns="0" formatRows="0"/>
  <mergeCells count="12">
    <mergeCell ref="B4:C4"/>
    <mergeCell ref="B5:C5"/>
    <mergeCell ref="B23:C23"/>
    <mergeCell ref="B22:C22"/>
    <mergeCell ref="B9:C9"/>
    <mergeCell ref="B8:C8"/>
    <mergeCell ref="A28:C28"/>
    <mergeCell ref="B6:C6"/>
    <mergeCell ref="B21:C21"/>
    <mergeCell ref="B24:C24"/>
    <mergeCell ref="B7:C7"/>
    <mergeCell ref="B25:C25"/>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10"/>
  <sheetViews>
    <sheetView workbookViewId="0"/>
  </sheetViews>
  <sheetFormatPr defaultRowHeight="15" x14ac:dyDescent="0.25"/>
  <sheetData>
    <row r="1" spans="1:2" x14ac:dyDescent="0.25">
      <c r="A1" t="s">
        <v>260</v>
      </c>
      <c r="B1" t="s">
        <v>261</v>
      </c>
    </row>
    <row r="2" spans="1:2" x14ac:dyDescent="0.25">
      <c r="A2" t="s">
        <v>262</v>
      </c>
      <c r="B2">
        <v>1</v>
      </c>
    </row>
    <row r="3" spans="1:2" x14ac:dyDescent="0.25">
      <c r="A3" t="s">
        <v>263</v>
      </c>
      <c r="B3" t="s">
        <v>264</v>
      </c>
    </row>
    <row r="4" spans="1:2" x14ac:dyDescent="0.25">
      <c r="A4" t="s">
        <v>265</v>
      </c>
      <c r="B4">
        <v>7</v>
      </c>
    </row>
    <row r="5" spans="1:2" x14ac:dyDescent="0.25">
      <c r="A5" t="s">
        <v>266</v>
      </c>
      <c r="B5" t="s">
        <v>267</v>
      </c>
    </row>
    <row r="6" spans="1:2" x14ac:dyDescent="0.25">
      <c r="A6" t="s">
        <v>268</v>
      </c>
      <c r="B6" t="s">
        <v>6</v>
      </c>
    </row>
    <row r="7" spans="1:2" x14ac:dyDescent="0.25">
      <c r="A7" t="s">
        <v>269</v>
      </c>
      <c r="B7" t="s">
        <v>3</v>
      </c>
    </row>
    <row r="8" spans="1:2" x14ac:dyDescent="0.25">
      <c r="A8" t="s">
        <v>270</v>
      </c>
    </row>
    <row r="9" spans="1:2" x14ac:dyDescent="0.25">
      <c r="A9" t="s">
        <v>271</v>
      </c>
      <c r="B9" t="s">
        <v>272</v>
      </c>
    </row>
    <row r="10" spans="1:2" x14ac:dyDescent="0.25">
      <c r="A10" t="s">
        <v>273</v>
      </c>
      <c r="B10" t="s">
        <v>274</v>
      </c>
    </row>
  </sheetData>
  <sheetProtection sheet="1" formatCells="0" formatColumns="0" formatRows="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17</vt:i4>
      </vt:variant>
    </vt:vector>
  </HeadingPairs>
  <TitlesOfParts>
    <vt:vector size="24" baseType="lpstr">
      <vt:lpstr>Start Here</vt:lpstr>
      <vt:lpstr>Scenario</vt:lpstr>
      <vt:lpstr>Chase Plan</vt:lpstr>
      <vt:lpstr>Level Plan</vt:lpstr>
      <vt:lpstr>Hybrid Plan</vt:lpstr>
      <vt:lpstr>Summary</vt:lpstr>
      <vt:lpstr>Excel Help</vt:lpstr>
      <vt:lpstr>BackorderCost</vt:lpstr>
      <vt:lpstr>BeginInv</vt:lpstr>
      <vt:lpstr>BottlesPerHour</vt:lpstr>
      <vt:lpstr>DaysPerMonth</vt:lpstr>
      <vt:lpstr>EndTarget</vt:lpstr>
      <vt:lpstr>HireCost</vt:lpstr>
      <vt:lpstr>HoldCost</vt:lpstr>
      <vt:lpstr>HoursPerDay</vt:lpstr>
      <vt:lpstr>LaborCost</vt:lpstr>
      <vt:lpstr>LayoffCost</vt:lpstr>
      <vt:lpstr>MaxInventory</vt:lpstr>
      <vt:lpstr>OTCost</vt:lpstr>
      <vt:lpstr>OTLimitPct</vt:lpstr>
      <vt:lpstr>SafetyStock</vt:lpstr>
      <vt:lpstr>StartWorkers</vt:lpstr>
      <vt:lpstr>SubCapacity</vt:lpstr>
      <vt:lpstr>SubCost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Christopher M Scherpereel</cp:lastModifiedBy>
  <dcterms:created xsi:type="dcterms:W3CDTF">2026-10-19T18:10:32Z</dcterms:created>
  <dcterms:modified xsi:type="dcterms:W3CDTF">2026-10-19T18:10:33Z</dcterms:modified>
</cp:coreProperties>
</file>