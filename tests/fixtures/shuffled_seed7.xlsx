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ms89\AppData\Roaming\Claude\scratch-workspaces\a72c5ced-5896-445f-ba4c-143e77ffe85d\78e220c2-1d03-4db7-9c30-facaa620e845\scratch-2026-10-19-6e9fe4\v3\tests\fixtures\"/>
    </mc:Choice>
  </mc:AlternateContent>
  <xr:revisionPtr revIDLastSave="0" documentId="8_{B24F8DBE-26F5-4006-8EB1-ABE4B19AE243}" xr6:coauthVersionLast="47" xr6:coauthVersionMax="47" xr10:uidLastSave="{00000000-0000-0000-0000-000000000000}"/>
  <bookViews>
    <workbookView xWindow="-120" yWindow="-120" windowWidth="29040" windowHeight="15720" xr2:uid="{00000000-000D-0000-FFFF-FFFF00000000}"/>
  </bookViews>
  <sheets>
    <sheet name="Start Here" sheetId="1" r:id="rId1"/>
    <sheet name="Scenario" sheetId="2" r:id="rId2"/>
    <sheet name="Chase Plan" sheetId="3" r:id="rId3"/>
    <sheet name="Level Plan" sheetId="4" r:id="rId4"/>
    <sheet name="Hybrid Plan" sheetId="5" r:id="rId5"/>
    <sheet name="Summary" sheetId="6" r:id="rId6"/>
    <sheet name="Excel Help" sheetId="7" r:id="rId7"/>
    <sheet name="_meta" sheetId="8" state="veryHidden" r:id="rId8"/>
  </sheets>
  <definedNames>
    <definedName name="BackorderCost">Scenario!$F$18</definedName>
    <definedName name="BeginInv">Scenario!$F$6</definedName>
    <definedName name="BottlesPerHour">Scenario!$F$11</definedName>
    <definedName name="DaysPerMonth">Scenario!$F$13</definedName>
    <definedName name="EndTarget">Scenario!$F$8</definedName>
    <definedName name="HireCost">Scenario!$F$15</definedName>
    <definedName name="HoldCost">Scenario!$F$17</definedName>
    <definedName name="HoursPerDay">Scenario!$F$12</definedName>
    <definedName name="LaborCost">Scenario!$F$14</definedName>
    <definedName name="LayoffCost">Scenario!$F$16</definedName>
    <definedName name="MaxInventory">Scenario!$F$9</definedName>
    <definedName name="OTCost">Scenario!$F$20</definedName>
    <definedName name="OTLimitPct">Scenario!$F$19</definedName>
    <definedName name="SafetyStock">Scenario!$F$7</definedName>
    <definedName name="StartWorkers">Scenario!$F$10</definedName>
    <definedName name="SubCapacity">Scenario!$F$22</definedName>
    <definedName name="SubCost">Scenario!$F$21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4" i="6" l="1"/>
  <c r="C17" i="5"/>
  <c r="I14" i="5"/>
  <c r="H14" i="5"/>
  <c r="G14" i="5"/>
  <c r="S13" i="5"/>
  <c r="R13" i="5"/>
  <c r="O13" i="5"/>
  <c r="L13" i="5"/>
  <c r="Q13" i="5" s="1"/>
  <c r="K13" i="5"/>
  <c r="P13" i="5" s="1"/>
  <c r="J13" i="5"/>
  <c r="S12" i="5"/>
  <c r="R12" i="5"/>
  <c r="O12" i="5"/>
  <c r="L12" i="5"/>
  <c r="Q12" i="5" s="1"/>
  <c r="K12" i="5"/>
  <c r="P12" i="5" s="1"/>
  <c r="J12" i="5"/>
  <c r="S11" i="5"/>
  <c r="R11" i="5"/>
  <c r="O11" i="5"/>
  <c r="L11" i="5"/>
  <c r="Q11" i="5" s="1"/>
  <c r="K11" i="5"/>
  <c r="P11" i="5" s="1"/>
  <c r="J11" i="5"/>
  <c r="S10" i="5"/>
  <c r="R10" i="5"/>
  <c r="P10" i="5"/>
  <c r="O10" i="5"/>
  <c r="L10" i="5"/>
  <c r="Q10" i="5" s="1"/>
  <c r="K10" i="5"/>
  <c r="J10" i="5"/>
  <c r="S9" i="5"/>
  <c r="R9" i="5"/>
  <c r="O9" i="5"/>
  <c r="L9" i="5"/>
  <c r="Q9" i="5" s="1"/>
  <c r="K9" i="5"/>
  <c r="P9" i="5" s="1"/>
  <c r="J9" i="5"/>
  <c r="S8" i="5"/>
  <c r="R8" i="5"/>
  <c r="O8" i="5"/>
  <c r="L8" i="5"/>
  <c r="Q8" i="5" s="1"/>
  <c r="K8" i="5"/>
  <c r="P8" i="5" s="1"/>
  <c r="J8" i="5"/>
  <c r="S7" i="5"/>
  <c r="R7" i="5"/>
  <c r="O7" i="5"/>
  <c r="L7" i="5"/>
  <c r="Q7" i="5" s="1"/>
  <c r="K7" i="5"/>
  <c r="P7" i="5" s="1"/>
  <c r="J7" i="5"/>
  <c r="S6" i="5"/>
  <c r="R6" i="5"/>
  <c r="O6" i="5"/>
  <c r="L6" i="5"/>
  <c r="Q6" i="5" s="1"/>
  <c r="K6" i="5"/>
  <c r="P6" i="5" s="1"/>
  <c r="J6" i="5"/>
  <c r="S5" i="5"/>
  <c r="R5" i="5"/>
  <c r="O5" i="5"/>
  <c r="L5" i="5"/>
  <c r="Q5" i="5" s="1"/>
  <c r="K5" i="5"/>
  <c r="P5" i="5" s="1"/>
  <c r="J5" i="5"/>
  <c r="S4" i="5"/>
  <c r="R4" i="5"/>
  <c r="O4" i="5"/>
  <c r="L4" i="5"/>
  <c r="Q4" i="5" s="1"/>
  <c r="K4" i="5"/>
  <c r="P4" i="5" s="1"/>
  <c r="J4" i="5"/>
  <c r="S3" i="5"/>
  <c r="R3" i="5"/>
  <c r="O3" i="5"/>
  <c r="L3" i="5"/>
  <c r="Q3" i="5" s="1"/>
  <c r="K3" i="5"/>
  <c r="P3" i="5" s="1"/>
  <c r="J3" i="5"/>
  <c r="S2" i="5"/>
  <c r="R2" i="5"/>
  <c r="O2" i="5"/>
  <c r="L2" i="5"/>
  <c r="Q2" i="5" s="1"/>
  <c r="K2" i="5"/>
  <c r="P2" i="5" s="1"/>
  <c r="J2" i="5"/>
  <c r="D2" i="5"/>
  <c r="C2" i="5"/>
  <c r="M2" i="5" s="1"/>
  <c r="C3" i="5" s="1"/>
  <c r="C19" i="4"/>
  <c r="C20" i="4" s="1"/>
  <c r="E3" i="4" s="1"/>
  <c r="C18" i="4"/>
  <c r="C17" i="4"/>
  <c r="D2" i="4"/>
  <c r="C2" i="4"/>
  <c r="C18" i="3"/>
  <c r="C17" i="3"/>
  <c r="D2" i="3"/>
  <c r="C2" i="3"/>
  <c r="E7" i="4" l="1"/>
  <c r="E9" i="4"/>
  <c r="E2" i="4"/>
  <c r="E11" i="4"/>
  <c r="E4" i="4"/>
  <c r="E6" i="4"/>
  <c r="E13" i="4"/>
  <c r="C21" i="4"/>
  <c r="E10" i="4"/>
  <c r="E5" i="4"/>
  <c r="P14" i="5"/>
  <c r="D5" i="6" s="1"/>
  <c r="E8" i="4"/>
  <c r="O14" i="5"/>
  <c r="D4" i="6" s="1"/>
  <c r="E12" i="4"/>
  <c r="L14" i="5"/>
  <c r="D13" i="6" s="1"/>
  <c r="Q14" i="5"/>
  <c r="D6" i="6" s="1"/>
  <c r="R14" i="5"/>
  <c r="D7" i="6" s="1"/>
  <c r="F13" i="5"/>
  <c r="F11" i="5"/>
  <c r="F9" i="5"/>
  <c r="F7" i="5"/>
  <c r="F5" i="5"/>
  <c r="F3" i="5"/>
  <c r="F10" i="5"/>
  <c r="F6" i="5"/>
  <c r="F2" i="5"/>
  <c r="F12" i="5"/>
  <c r="F8" i="5"/>
  <c r="F4" i="5"/>
  <c r="C18" i="5"/>
  <c r="T2" i="5"/>
  <c r="J14" i="5"/>
  <c r="S14" i="5"/>
  <c r="D8" i="6" s="1"/>
  <c r="N2" i="5"/>
  <c r="K14" i="5"/>
  <c r="D12" i="6" s="1"/>
  <c r="E2" i="3"/>
  <c r="D3" i="5" l="1"/>
  <c r="U2" i="5"/>
  <c r="F2" i="4"/>
  <c r="F11" i="4"/>
  <c r="F4" i="4"/>
  <c r="F13" i="4"/>
  <c r="F8" i="4"/>
  <c r="F6" i="4"/>
  <c r="F7" i="4"/>
  <c r="F10" i="4"/>
  <c r="F5" i="4"/>
  <c r="F12" i="4"/>
  <c r="F9" i="4"/>
  <c r="F3" i="4"/>
  <c r="F14" i="5"/>
  <c r="J2" i="3"/>
  <c r="F2" i="3"/>
  <c r="V2" i="5"/>
  <c r="K2" i="3"/>
  <c r="E14" i="4"/>
  <c r="J2" i="4"/>
  <c r="I2" i="4"/>
  <c r="G2" i="3" l="1"/>
  <c r="I2" i="3"/>
  <c r="H2" i="3"/>
  <c r="L2" i="3"/>
  <c r="C3" i="4"/>
  <c r="N2" i="4"/>
  <c r="D3" i="4"/>
  <c r="J3" i="4" s="1"/>
  <c r="O2" i="4"/>
  <c r="C3" i="3"/>
  <c r="M2" i="3"/>
  <c r="D3" i="3"/>
  <c r="N2" i="3"/>
  <c r="H4" i="4"/>
  <c r="M4" i="4" s="1"/>
  <c r="G3" i="4"/>
  <c r="L3" i="4" s="1"/>
  <c r="K3" i="4"/>
  <c r="K9" i="4"/>
  <c r="H10" i="4"/>
  <c r="M10" i="4" s="1"/>
  <c r="G9" i="4"/>
  <c r="L9" i="4" s="1"/>
  <c r="H13" i="4"/>
  <c r="M13" i="4" s="1"/>
  <c r="G12" i="4"/>
  <c r="L12" i="4" s="1"/>
  <c r="K12" i="4"/>
  <c r="H6" i="4"/>
  <c r="M6" i="4" s="1"/>
  <c r="K5" i="4"/>
  <c r="G5" i="4"/>
  <c r="L5" i="4" s="1"/>
  <c r="H11" i="4"/>
  <c r="M11" i="4" s="1"/>
  <c r="K10" i="4"/>
  <c r="G10" i="4"/>
  <c r="L10" i="4" s="1"/>
  <c r="H8" i="4"/>
  <c r="M8" i="4" s="1"/>
  <c r="K7" i="4"/>
  <c r="G7" i="4"/>
  <c r="L7" i="4" s="1"/>
  <c r="K6" i="4"/>
  <c r="G6" i="4"/>
  <c r="L6" i="4" s="1"/>
  <c r="H7" i="4"/>
  <c r="M7" i="4" s="1"/>
  <c r="H9" i="4"/>
  <c r="M9" i="4" s="1"/>
  <c r="G8" i="4"/>
  <c r="L8" i="4" s="1"/>
  <c r="K8" i="4"/>
  <c r="K13" i="4"/>
  <c r="G13" i="4"/>
  <c r="L13" i="4" s="1"/>
  <c r="K4" i="4"/>
  <c r="G4" i="4"/>
  <c r="L4" i="4" s="1"/>
  <c r="H5" i="4"/>
  <c r="M5" i="4" s="1"/>
  <c r="G11" i="4"/>
  <c r="L11" i="4" s="1"/>
  <c r="K11" i="4"/>
  <c r="H12" i="4"/>
  <c r="M12" i="4" s="1"/>
  <c r="K2" i="4"/>
  <c r="G2" i="4"/>
  <c r="C14" i="6"/>
  <c r="H2" i="4"/>
  <c r="H3" i="4"/>
  <c r="M3" i="4" s="1"/>
  <c r="N3" i="5"/>
  <c r="M3" i="5"/>
  <c r="D4" i="5" l="1"/>
  <c r="U3" i="5"/>
  <c r="H14" i="4"/>
  <c r="C13" i="6" s="1"/>
  <c r="M2" i="4"/>
  <c r="M14" i="4" s="1"/>
  <c r="C6" i="6" s="1"/>
  <c r="L2" i="4"/>
  <c r="L14" i="4" s="1"/>
  <c r="C5" i="6" s="1"/>
  <c r="G14" i="4"/>
  <c r="C12" i="6" s="1"/>
  <c r="K14" i="4"/>
  <c r="C4" i="6" s="1"/>
  <c r="P2" i="4"/>
  <c r="P2" i="3"/>
  <c r="E3" i="3"/>
  <c r="K3" i="3" s="1"/>
  <c r="D4" i="4"/>
  <c r="O3" i="4"/>
  <c r="Q2" i="3"/>
  <c r="C4" i="5"/>
  <c r="M4" i="5" s="1"/>
  <c r="T3" i="5"/>
  <c r="J3" i="3"/>
  <c r="I3" i="4"/>
  <c r="O2" i="3"/>
  <c r="C4" i="3" l="1"/>
  <c r="M3" i="3"/>
  <c r="N3" i="3"/>
  <c r="D4" i="3"/>
  <c r="V3" i="5"/>
  <c r="T4" i="5"/>
  <c r="C5" i="5"/>
  <c r="F3" i="3"/>
  <c r="N3" i="4"/>
  <c r="C4" i="4"/>
  <c r="I4" i="4" s="1"/>
  <c r="N4" i="5"/>
  <c r="N4" i="4" l="1"/>
  <c r="C5" i="4"/>
  <c r="D5" i="5"/>
  <c r="N5" i="5" s="1"/>
  <c r="U4" i="5"/>
  <c r="P3" i="4"/>
  <c r="L3" i="3"/>
  <c r="H3" i="3"/>
  <c r="G3" i="3"/>
  <c r="I3" i="3"/>
  <c r="J4" i="4"/>
  <c r="M5" i="5"/>
  <c r="V4" i="5"/>
  <c r="E4" i="3"/>
  <c r="J4" i="3" s="1"/>
  <c r="N4" i="3" l="1"/>
  <c r="D5" i="3"/>
  <c r="D6" i="5"/>
  <c r="U5" i="5"/>
  <c r="K4" i="3"/>
  <c r="C6" i="5"/>
  <c r="M6" i="5" s="1"/>
  <c r="T5" i="5"/>
  <c r="O4" i="4"/>
  <c r="D5" i="4"/>
  <c r="J5" i="4" s="1"/>
  <c r="P3" i="3"/>
  <c r="O3" i="3"/>
  <c r="Q3" i="3"/>
  <c r="I5" i="4"/>
  <c r="F4" i="3"/>
  <c r="P4" i="4"/>
  <c r="M4" i="3" l="1"/>
  <c r="C5" i="3"/>
  <c r="D6" i="4"/>
  <c r="O5" i="4"/>
  <c r="V5" i="5"/>
  <c r="T6" i="5"/>
  <c r="C7" i="5"/>
  <c r="N6" i="5"/>
  <c r="L4" i="3"/>
  <c r="H4" i="3"/>
  <c r="G4" i="3"/>
  <c r="I4" i="3"/>
  <c r="C6" i="4"/>
  <c r="I6" i="4" s="1"/>
  <c r="N5" i="4"/>
  <c r="P5" i="4" s="1"/>
  <c r="D7" i="5" l="1"/>
  <c r="N7" i="5" s="1"/>
  <c r="U6" i="5"/>
  <c r="M7" i="5"/>
  <c r="N6" i="4"/>
  <c r="C7" i="4"/>
  <c r="P4" i="3"/>
  <c r="O4" i="3"/>
  <c r="V6" i="5"/>
  <c r="J6" i="4"/>
  <c r="E5" i="3"/>
  <c r="K5" i="3" s="1"/>
  <c r="M5" i="3" l="1"/>
  <c r="C6" i="3"/>
  <c r="Q4" i="3"/>
  <c r="F5" i="3"/>
  <c r="J5" i="3"/>
  <c r="D7" i="4"/>
  <c r="J7" i="4" s="1"/>
  <c r="O6" i="4"/>
  <c r="P6" i="4" s="1"/>
  <c r="D8" i="5"/>
  <c r="U7" i="5"/>
  <c r="I7" i="4"/>
  <c r="T7" i="5"/>
  <c r="V7" i="5" s="1"/>
  <c r="C8" i="5"/>
  <c r="M8" i="5" s="1"/>
  <c r="T8" i="5" l="1"/>
  <c r="C9" i="5"/>
  <c r="D6" i="3"/>
  <c r="N5" i="3"/>
  <c r="C8" i="4"/>
  <c r="N7" i="4"/>
  <c r="N8" i="5"/>
  <c r="L5" i="3"/>
  <c r="G5" i="3"/>
  <c r="H5" i="3"/>
  <c r="I5" i="3"/>
  <c r="E6" i="3"/>
  <c r="D8" i="4"/>
  <c r="O7" i="4"/>
  <c r="J8" i="4" l="1"/>
  <c r="P7" i="4"/>
  <c r="D9" i="4"/>
  <c r="O8" i="4"/>
  <c r="F6" i="3"/>
  <c r="K6" i="3"/>
  <c r="P5" i="3"/>
  <c r="I8" i="4"/>
  <c r="J6" i="3"/>
  <c r="O5" i="3"/>
  <c r="Q5" i="3" s="1"/>
  <c r="D9" i="5"/>
  <c r="N9" i="5" s="1"/>
  <c r="U8" i="5"/>
  <c r="V8" i="5" s="1"/>
  <c r="C9" i="4" l="1"/>
  <c r="I9" i="4" s="1"/>
  <c r="N8" i="4"/>
  <c r="P8" i="4" s="1"/>
  <c r="H6" i="3"/>
  <c r="G6" i="3"/>
  <c r="L6" i="3"/>
  <c r="I6" i="3"/>
  <c r="J9" i="4"/>
  <c r="D10" i="5"/>
  <c r="U9" i="5"/>
  <c r="M9" i="5"/>
  <c r="N6" i="3"/>
  <c r="D7" i="3"/>
  <c r="C7" i="3"/>
  <c r="M6" i="3"/>
  <c r="T9" i="5" l="1"/>
  <c r="V9" i="5" s="1"/>
  <c r="C10" i="5"/>
  <c r="M10" i="5" s="1"/>
  <c r="E7" i="3"/>
  <c r="F7" i="3" s="1"/>
  <c r="K7" i="3"/>
  <c r="J7" i="3"/>
  <c r="D10" i="4"/>
  <c r="O9" i="4"/>
  <c r="N10" i="5"/>
  <c r="P6" i="3"/>
  <c r="O6" i="3"/>
  <c r="Q6" i="3" s="1"/>
  <c r="N9" i="4"/>
  <c r="P9" i="4" s="1"/>
  <c r="C10" i="4"/>
  <c r="I10" i="4" s="1"/>
  <c r="D11" i="5" l="1"/>
  <c r="U10" i="5"/>
  <c r="C8" i="3"/>
  <c r="M7" i="3"/>
  <c r="D8" i="3"/>
  <c r="N7" i="3"/>
  <c r="C11" i="4"/>
  <c r="N10" i="4"/>
  <c r="J10" i="4"/>
  <c r="G7" i="3"/>
  <c r="L7" i="3"/>
  <c r="H7" i="3"/>
  <c r="O7" i="3" s="1"/>
  <c r="I7" i="3"/>
  <c r="P7" i="3" s="1"/>
  <c r="T10" i="5"/>
  <c r="V10" i="5" s="1"/>
  <c r="C11" i="5"/>
  <c r="M11" i="5" s="1"/>
  <c r="C12" i="5" l="1"/>
  <c r="T11" i="5"/>
  <c r="Q7" i="3"/>
  <c r="D11" i="4"/>
  <c r="J11" i="4" s="1"/>
  <c r="O10" i="4"/>
  <c r="P10" i="4"/>
  <c r="E8" i="3"/>
  <c r="F8" i="3" s="1"/>
  <c r="N11" i="5"/>
  <c r="D12" i="5" l="1"/>
  <c r="N12" i="5" s="1"/>
  <c r="U11" i="5"/>
  <c r="K8" i="3"/>
  <c r="J8" i="3"/>
  <c r="I11" i="4"/>
  <c r="L8" i="3"/>
  <c r="G8" i="3"/>
  <c r="H8" i="3"/>
  <c r="O8" i="3" s="1"/>
  <c r="I8" i="3"/>
  <c r="P8" i="3" s="1"/>
  <c r="D12" i="4"/>
  <c r="O11" i="4"/>
  <c r="V11" i="5"/>
  <c r="M12" i="5"/>
  <c r="T12" i="5" l="1"/>
  <c r="C13" i="5"/>
  <c r="M8" i="3"/>
  <c r="C9" i="3"/>
  <c r="D9" i="3"/>
  <c r="N8" i="3"/>
  <c r="Q8" i="3" s="1"/>
  <c r="N11" i="4"/>
  <c r="P11" i="4" s="1"/>
  <c r="C12" i="4"/>
  <c r="I12" i="4" s="1"/>
  <c r="D13" i="5"/>
  <c r="N13" i="5" s="1"/>
  <c r="U12" i="5"/>
  <c r="J12" i="4" l="1"/>
  <c r="O12" i="4" s="1"/>
  <c r="D13" i="4"/>
  <c r="C13" i="4"/>
  <c r="N12" i="4"/>
  <c r="E9" i="3"/>
  <c r="F9" i="3" s="1"/>
  <c r="M13" i="5"/>
  <c r="U13" i="5"/>
  <c r="U14" i="5" s="1"/>
  <c r="D10" i="6" s="1"/>
  <c r="D16" i="6"/>
  <c r="J9" i="3"/>
  <c r="V12" i="5"/>
  <c r="I13" i="4" l="1"/>
  <c r="P12" i="4"/>
  <c r="D10" i="3"/>
  <c r="N9" i="3"/>
  <c r="N13" i="4"/>
  <c r="C15" i="6"/>
  <c r="L9" i="3"/>
  <c r="H9" i="3"/>
  <c r="O9" i="3" s="1"/>
  <c r="G9" i="3"/>
  <c r="I9" i="3"/>
  <c r="P9" i="3" s="1"/>
  <c r="J13" i="4"/>
  <c r="T13" i="5"/>
  <c r="D15" i="6"/>
  <c r="K9" i="3"/>
  <c r="C10" i="3" l="1"/>
  <c r="M9" i="3"/>
  <c r="V13" i="5"/>
  <c r="V14" i="5" s="1"/>
  <c r="D11" i="6" s="1"/>
  <c r="T14" i="5"/>
  <c r="D9" i="6" s="1"/>
  <c r="N14" i="4"/>
  <c r="C9" i="6" s="1"/>
  <c r="O13" i="4"/>
  <c r="O14" i="4" s="1"/>
  <c r="C10" i="6" s="1"/>
  <c r="C16" i="6"/>
  <c r="Q9" i="3"/>
  <c r="P13" i="4" l="1"/>
  <c r="P14" i="4" s="1"/>
  <c r="C11" i="6" s="1"/>
  <c r="E10" i="3"/>
  <c r="F10" i="3" l="1"/>
  <c r="J10" i="3"/>
  <c r="K10" i="3"/>
  <c r="C11" i="3" l="1"/>
  <c r="M10" i="3"/>
  <c r="D11" i="3"/>
  <c r="N10" i="3"/>
  <c r="L10" i="3"/>
  <c r="H10" i="3"/>
  <c r="O10" i="3" s="1"/>
  <c r="G10" i="3"/>
  <c r="I10" i="3"/>
  <c r="P10" i="3" s="1"/>
  <c r="Q10" i="3" l="1"/>
  <c r="E11" i="3"/>
  <c r="F11" i="3" s="1"/>
  <c r="H11" i="3" l="1"/>
  <c r="O11" i="3" s="1"/>
  <c r="G11" i="3"/>
  <c r="L11" i="3"/>
  <c r="I11" i="3"/>
  <c r="P11" i="3" s="1"/>
  <c r="J11" i="3"/>
  <c r="K11" i="3"/>
  <c r="M11" i="3" l="1"/>
  <c r="C12" i="3"/>
  <c r="D12" i="3"/>
  <c r="N11" i="3"/>
  <c r="Q11" i="3" l="1"/>
  <c r="E12" i="3"/>
  <c r="F12" i="3" s="1"/>
  <c r="L12" i="3" l="1"/>
  <c r="H12" i="3"/>
  <c r="O12" i="3" s="1"/>
  <c r="G12" i="3"/>
  <c r="I12" i="3"/>
  <c r="P12" i="3" s="1"/>
  <c r="K12" i="3"/>
  <c r="J12" i="3"/>
  <c r="M12" i="3" l="1"/>
  <c r="C13" i="3"/>
  <c r="N12" i="3"/>
  <c r="D13" i="3"/>
  <c r="Q12" i="3"/>
  <c r="E13" i="3" l="1"/>
  <c r="F13" i="3" l="1"/>
  <c r="E14" i="3"/>
  <c r="K13" i="3"/>
  <c r="J13" i="3"/>
  <c r="N13" i="3" l="1"/>
  <c r="N14" i="3" s="1"/>
  <c r="B10" i="6" s="1"/>
  <c r="B16" i="6"/>
  <c r="M13" i="3"/>
  <c r="M14" i="3" s="1"/>
  <c r="B9" i="6" s="1"/>
  <c r="B15" i="6"/>
  <c r="L13" i="3"/>
  <c r="H13" i="3"/>
  <c r="G13" i="3"/>
  <c r="G14" i="3" s="1"/>
  <c r="B14" i="6"/>
  <c r="I13" i="3"/>
  <c r="O13" i="3" l="1"/>
  <c r="O14" i="3" s="1"/>
  <c r="B5" i="6" s="1"/>
  <c r="H14" i="3"/>
  <c r="B12" i="6" s="1"/>
  <c r="P13" i="3"/>
  <c r="P14" i="3" s="1"/>
  <c r="B6" i="6" s="1"/>
  <c r="I14" i="3"/>
  <c r="B13" i="6" s="1"/>
  <c r="Q13" i="3"/>
  <c r="Q14" i="3" s="1"/>
  <c r="B11" i="6" s="1"/>
  <c r="L14" i="3"/>
  <c r="B4" i="6" s="1"/>
  <c r="B19" i="6" l="1"/>
  <c r="B1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200-000001000000}">
      <text>
        <r>
          <rPr>
            <sz val="11"/>
            <color theme="1"/>
            <rFont val="Calibri"/>
            <family val="2"/>
            <scheme val="minor"/>
          </rPr>
          <t>Type your first column heading here, then continue to the right. One column for each question your plan must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300-000001000000}">
      <text>
        <r>
          <rPr>
            <sz val="11"/>
            <color theme="1"/>
            <rFont val="Calibri"/>
            <family val="2"/>
            <scheme val="minor"/>
          </rPr>
          <t>Type your first column heading here, then continue to the right. One column for each question your plan must answer.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400-000001000000}">
      <text>
        <r>
          <rPr>
            <sz val="11"/>
            <color theme="1"/>
            <rFont val="Calibri"/>
            <family val="2"/>
            <scheme val="minor"/>
          </rPr>
          <t>Type your first column heading here, then continue to the right. One column for each question your plan must answer.</t>
        </r>
      </text>
    </comment>
  </commentList>
</comments>
</file>

<file path=xl/sharedStrings.xml><?xml version="1.0" encoding="utf-8"?>
<sst xmlns="http://schemas.openxmlformats.org/spreadsheetml/2006/main" count="362" uniqueCount="279">
  <si>
    <t>Aggregate Anxiety: Aggregate Planning in Excel</t>
  </si>
  <si>
    <t>Juicetification Inc. — aggregate production planning, built by you in Excel.</t>
  </si>
  <si>
    <t>Student name</t>
  </si>
  <si>
    <t>Test Student</t>
  </si>
  <si>
    <t>This workbook was made for you: your demand and numbers differ from your classmates'. Upload only your own file.</t>
  </si>
  <si>
    <t>Student ID</t>
  </si>
  <si>
    <t>S1</t>
  </si>
  <si>
    <t>Scenario number</t>
  </si>
  <si>
    <t>How this works</t>
  </si>
  <si>
    <t>Pieces</t>
  </si>
  <si>
    <t>You build and submit this workbook one piece at a time in the app: the chase plan, then the level plan, then the hybrid plan, then the comparison on the Summary sheet.</t>
  </si>
  <si>
    <t>Design it</t>
  </si>
  <si>
    <t>On each plan sheet only Month and Demand are given. YOU decide which columns the plan needs: type a heading in row 1 for each one (peach cells), then the formulas for January–December below it, and the yearly totals in row 14.</t>
  </si>
  <si>
    <t>Plan first</t>
  </si>
  <si>
    <t>Fill the planning cells under the grid first — the one-off numbers the months will use.</t>
  </si>
  <si>
    <t>Use formulas</t>
  </si>
  <si>
    <t>Every number you work out must be an Excel formula (start with =). Use the names on the Scenario sheet, e.g. =…*LaborCost.</t>
  </si>
  <si>
    <t>Check</t>
  </si>
  <si>
    <t>Save as .xlsx and upload it at that piece's step in the app. You'll see which cells are right; each new attempt unlocks more help on what is still wrong. When a piece is all correct, submit it and move on.</t>
  </si>
  <si>
    <t>Colour key</t>
  </si>
  <si>
    <t>Given data — do not change</t>
  </si>
  <si>
    <t>Your column heading goes here (row 1)</t>
  </si>
  <si>
    <t>Your formula goes here</t>
  </si>
  <si>
    <t>Yearly totals row (row 14)</t>
  </si>
  <si>
    <t>Your company's policy</t>
  </si>
  <si>
    <t>Your company carries no safety stock: the chase plan uses up the beginning inventory in January and then ends each month with 0 bottles; the level plan aims to end December at 0.</t>
  </si>
  <si>
    <t>Questions every plan must answer, for each month</t>
  </si>
  <si>
    <t>1.</t>
  </si>
  <si>
    <t>How many bottles are on the shelf when the month starts?</t>
  </si>
  <si>
    <t>2.</t>
  </si>
  <si>
    <t>How many customer orders are still waiting from earlier months?</t>
  </si>
  <si>
    <t>3.</t>
  </si>
  <si>
    <t>How many bottles will you make this month?</t>
  </si>
  <si>
    <t>4.</t>
  </si>
  <si>
    <t>How many workers do you employ this month?</t>
  </si>
  <si>
    <t>5.</t>
  </si>
  <si>
    <t>How many workers did you add this month?</t>
  </si>
  <si>
    <t>6.</t>
  </si>
  <si>
    <t>How many workers did you let go this month?</t>
  </si>
  <si>
    <t>7.</t>
  </si>
  <si>
    <t>How many bottles are left on the shelf at the end of the month?</t>
  </si>
  <si>
    <t>8.</t>
  </si>
  <si>
    <t>How many orders are still unfilled at the end of the month?</t>
  </si>
  <si>
    <t>9.</t>
  </si>
  <si>
    <t>What did your workforce cost this month?</t>
  </si>
  <si>
    <t>10.</t>
  </si>
  <si>
    <t>What did hiring cost this month?</t>
  </si>
  <si>
    <t>11.</t>
  </si>
  <si>
    <t>What did layoffs cost this month?</t>
  </si>
  <si>
    <t>12.</t>
  </si>
  <si>
    <t>What did it cost to keep stock this month?</t>
  </si>
  <si>
    <t>13.</t>
  </si>
  <si>
    <t>What did unfilled orders cost you this month?</t>
  </si>
  <si>
    <t>14.</t>
  </si>
  <si>
    <t>What did the whole month cost?</t>
  </si>
  <si>
    <t>Each question becomes a column. Which columns does each one depend on? That is your formula.</t>
  </si>
  <si>
    <t>Stuck on Excel itself? See the Excel Help sheet.</t>
  </si>
  <si>
    <t>Scenario: your given data</t>
  </si>
  <si>
    <t>Use the Excel NAMES in column G in your formulas, e.g. =F2*LaborCost. Never retype these numbers.</t>
  </si>
  <si>
    <t>Demand forecast</t>
  </si>
  <si>
    <t>Given data and their Excel names</t>
  </si>
  <si>
    <t>Month</t>
  </si>
  <si>
    <t>Demand (bottles)</t>
  </si>
  <si>
    <t>Given data</t>
  </si>
  <si>
    <t>Value</t>
  </si>
  <si>
    <t>Excel name</t>
  </si>
  <si>
    <t>Unit</t>
  </si>
  <si>
    <t>January</t>
  </si>
  <si>
    <t>Inventory on hand before January</t>
  </si>
  <si>
    <t>BeginInv</t>
  </si>
  <si>
    <t>bottles</t>
  </si>
  <si>
    <t>February</t>
  </si>
  <si>
    <t>Safety-stock quantity</t>
  </si>
  <si>
    <t>SafetyStock</t>
  </si>
  <si>
    <t>March</t>
  </si>
  <si>
    <t>Inventory each chase month aims to end with (and the level plan's December target)</t>
  </si>
  <si>
    <t>EndTarget</t>
  </si>
  <si>
    <t>April</t>
  </si>
  <si>
    <t>Storage capacity (most bottles you can hold)</t>
  </si>
  <si>
    <t>MaxInventory</t>
  </si>
  <si>
    <t>May</t>
  </si>
  <si>
    <t>Workers employed before January</t>
  </si>
  <si>
    <t>StartWorkers</t>
  </si>
  <si>
    <t>workers</t>
  </si>
  <si>
    <t>June</t>
  </si>
  <si>
    <t>Output of one worker per hour</t>
  </si>
  <si>
    <t>BottlesPerHour</t>
  </si>
  <si>
    <t>bottles/hour</t>
  </si>
  <si>
    <t>July</t>
  </si>
  <si>
    <t>Paid hours per worker per day</t>
  </si>
  <si>
    <t>HoursPerDay</t>
  </si>
  <si>
    <t>hours/day</t>
  </si>
  <si>
    <t>August</t>
  </si>
  <si>
    <t>Working days per month</t>
  </si>
  <si>
    <t>DaysPerMonth</t>
  </si>
  <si>
    <t>days/month</t>
  </si>
  <si>
    <t>September</t>
  </si>
  <si>
    <t>Regular labor cost per worker per month</t>
  </si>
  <si>
    <t>LaborCost</t>
  </si>
  <si>
    <t>$/worker/month</t>
  </si>
  <si>
    <t>October</t>
  </si>
  <si>
    <t>Cost to hire one worker</t>
  </si>
  <si>
    <t>HireCost</t>
  </si>
  <si>
    <t>$/worker</t>
  </si>
  <si>
    <t>November</t>
  </si>
  <si>
    <t>Cost to lay off one worker</t>
  </si>
  <si>
    <t>LayoffCost</t>
  </si>
  <si>
    <t>December</t>
  </si>
  <si>
    <t>Cost to hold one bottle for one month</t>
  </si>
  <si>
    <t>HoldCost</t>
  </si>
  <si>
    <t>$/bottle/month</t>
  </si>
  <si>
    <t>Cost of one bottle backordered for one month</t>
  </si>
  <si>
    <t>BackorderCost</t>
  </si>
  <si>
    <t>Overtime limit as a share of regular capacity</t>
  </si>
  <si>
    <t>OTLimitPct</t>
  </si>
  <si>
    <t>fraction</t>
  </si>
  <si>
    <t>Overtime cost per bottle (extra, on top of labor)</t>
  </si>
  <si>
    <t>OTCost</t>
  </si>
  <si>
    <t>$/bottle</t>
  </si>
  <si>
    <t>Subcontracting cost per bottle</t>
  </si>
  <si>
    <t>SubCost</t>
  </si>
  <si>
    <t>Most bottles you can subcontract per month</t>
  </si>
  <si>
    <t>SubCapacity</t>
  </si>
  <si>
    <t>bottles/month</t>
  </si>
  <si>
    <t>Demand</t>
  </si>
  <si>
    <t>Starting Stock</t>
  </si>
  <si>
    <t>Backlog Carried In</t>
  </si>
  <si>
    <t>Bottles Made</t>
  </si>
  <si>
    <t>Crew</t>
  </si>
  <si>
    <t>Regular Capacity</t>
  </si>
  <si>
    <t>New Hires</t>
  </si>
  <si>
    <t>Fired</t>
  </si>
  <si>
    <t>Unfilled Orders</t>
  </si>
  <si>
    <t>Closing Stock</t>
  </si>
  <si>
    <t>Wages</t>
  </si>
  <si>
    <t>Storage Cost</t>
  </si>
  <si>
    <t>Shortage Penalty</t>
  </si>
  <si>
    <t>Hiring Expense</t>
  </si>
  <si>
    <t>Severance</t>
  </si>
  <si>
    <t>Monthly Total Cost</t>
  </si>
  <si>
    <t>Year total</t>
  </si>
  <si>
    <t>Planning calculations — do these first</t>
  </si>
  <si>
    <t>Capacity per worker (bottles/worker/month)</t>
  </si>
  <si>
    <t>Ending inventory target (bottles)</t>
  </si>
  <si>
    <t>CHASE PLAN — change the workforce every month so production follows demand.</t>
  </si>
  <si>
    <t>Row 1: your headings. Rows 2–13: your formulas for January–December. Row 14: yearly totals. Add helper columns if they help you think.</t>
  </si>
  <si>
    <t>Beginning Inventory</t>
  </si>
  <si>
    <t>Beginning Backorders</t>
  </si>
  <si>
    <t>Production</t>
  </si>
  <si>
    <t>Workers</t>
  </si>
  <si>
    <t>Hires</t>
  </si>
  <si>
    <t>Layoffs</t>
  </si>
  <si>
    <t>Ending Inventory</t>
  </si>
  <si>
    <t>Ending Backorders</t>
  </si>
  <si>
    <t>Labor Cost</t>
  </si>
  <si>
    <t>Hiring Cost</t>
  </si>
  <si>
    <t>Layoff Cost</t>
  </si>
  <si>
    <t>Holding Cost</t>
  </si>
  <si>
    <t>Backorder Cost</t>
  </si>
  <si>
    <t>Total Cost</t>
  </si>
  <si>
    <t>Ending inventory target for December (bottles)</t>
  </si>
  <si>
    <t>Total annual demand (bottles)</t>
  </si>
  <si>
    <t>Level production per month (bottles/month)</t>
  </si>
  <si>
    <t>Level workforce (workers)</t>
  </si>
  <si>
    <t>LEVEL PLAN — one steady production rate and workforce all year.</t>
  </si>
  <si>
    <t>Regular Production</t>
  </si>
  <si>
    <t>Overtime Production</t>
  </si>
  <si>
    <t>Subcontract Production</t>
  </si>
  <si>
    <t>Total Production</t>
  </si>
  <si>
    <t>Overtime Cost</t>
  </si>
  <si>
    <t>Subcontract Cost</t>
  </si>
  <si>
    <t>Overtime limit per worker (bottles/worker/month)</t>
  </si>
  <si>
    <t>HYBRID PLAN — your own strategy: choose workers, regular production, overtime and subcontracting each month, then calculate the results.</t>
  </si>
  <si>
    <t>Limits: overtime only once regular capacity is full and at most OTLimitPct of it; subcontracting at most SubCapacity; inventory at most MaxInventory; no backorders left in December; December inventory at least EndTarget.</t>
  </si>
  <si>
    <t>Summary: compare the plans and recommend one</t>
  </si>
  <si>
    <t>Measure</t>
  </si>
  <si>
    <t>Chase</t>
  </si>
  <si>
    <t>Level</t>
  </si>
  <si>
    <t>Hybrid</t>
  </si>
  <si>
    <t>Where it comes from</t>
  </si>
  <si>
    <t>Total labor cost</t>
  </si>
  <si>
    <t>from the plan's yearly totals</t>
  </si>
  <si>
    <t>Total hiring cost</t>
  </si>
  <si>
    <t>Total layoff cost</t>
  </si>
  <si>
    <t>Total overtime cost</t>
  </si>
  <si>
    <t>n/a</t>
  </si>
  <si>
    <t>hybrid only</t>
  </si>
  <si>
    <t>Total subcontract cost</t>
  </si>
  <si>
    <t>Total holding cost</t>
  </si>
  <si>
    <t>Total backorder cost</t>
  </si>
  <si>
    <t>TOTAL PLAN COST</t>
  </si>
  <si>
    <t>Total workers hired</t>
  </si>
  <si>
    <t>over the whole year</t>
  </si>
  <si>
    <t>Total workers laid off</t>
  </si>
  <si>
    <t>Largest workforce</t>
  </si>
  <si>
    <t>the biggest month</t>
  </si>
  <si>
    <t>Largest ending inventory (storage needed)</t>
  </si>
  <si>
    <t>Months ending with backorders</t>
  </si>
  <si>
    <t>a count of months</t>
  </si>
  <si>
    <t>Lower-cost plan: Chase or Level?</t>
  </si>
  <si>
    <t>let Excel decide with a formula</t>
  </si>
  <si>
    <t>Savings of the lower-cost plan ($)</t>
  </si>
  <si>
    <t>a positive number</t>
  </si>
  <si>
    <t>Your recommendation</t>
  </si>
  <si>
    <t>pick from the drop-down list</t>
  </si>
  <si>
    <t>Why? Justify it in your own words.</t>
  </si>
  <si>
    <t>ANSWER KEY. The recommendation and its justification are the student's own judgement and are graded by the instructor, not by the checker. ANSWER KEY. The recommendation and its justification are the student's own judgement and are graded by the instructor, not by the checker. ANSWER KEY. The recommendation and its justification are the student's own judgement and are graded by the instructor, not by the checker.</t>
  </si>
  <si>
    <t>At least 50 words. Use your numbers: cost, workforce changes, inventory, backorders, and the risks your plan takes.</t>
  </si>
  <si>
    <t>Excel help</t>
  </si>
  <si>
    <t>Habits that make this easy</t>
  </si>
  <si>
    <t>Start every calculation with =</t>
  </si>
  <si>
    <t>Type =C2+E2 rather than the number you worked out. The checker wants formulas, because a formula updates itself when an input changes.</t>
  </si>
  <si>
    <t>Fill down</t>
  </si>
  <si>
    <t>Write February's formula once, select it and drag the small square at the bottom-right corner down to December (or double-click it).</t>
  </si>
  <si>
    <t>Absolute references with $</t>
  </si>
  <si>
    <t>When every month must point at ONE cell (for example a planning cell such as $C$17), lock it with $ signs or use a name. Without the $, filling down slides the reference onto empty cells.</t>
  </si>
  <si>
    <t>Use the names</t>
  </si>
  <si>
    <t>Every given number has a name (LaborCost, HireCost, BeginInv, ...). =F2*LaborCost is easier to read and check than =F2*Scenario!$B$22.</t>
  </si>
  <si>
    <t>Link, don't retype</t>
  </si>
  <si>
    <t>On the Summary sheet, point at your plan's totals: type = and click the total on the plan sheet. If your plan changes, the summary follows.</t>
  </si>
  <si>
    <t>Save, then upload</t>
  </si>
  <si>
    <t>Save the file as .xlsx in Excel (or Google Sheets → Download → .xlsx) so the calculated values are stored. Then upload it in the app.</t>
  </si>
  <si>
    <t>Functions you may need</t>
  </si>
  <si>
    <t>SUM</t>
  </si>
  <si>
    <t>=SUM(B2:B13)</t>
  </si>
  <si>
    <t>adds a range of cells</t>
  </si>
  <si>
    <t>MAX</t>
  </si>
  <si>
    <t>=MAX(0, A5-B5)</t>
  </si>
  <si>
    <t>the larger value: with 0 first, a result can never go below zero</t>
  </si>
  <si>
    <t>MIN</t>
  </si>
  <si>
    <t>=MIN(B2:B13)</t>
  </si>
  <si>
    <t>the smallest value</t>
  </si>
  <si>
    <t>ROUNDUP</t>
  </si>
  <si>
    <t>=ROUNDUP(7.2, 0)</t>
  </si>
  <si>
    <t>rounds up to a whole number: 7.2 becomes 8</t>
  </si>
  <si>
    <t>IF</t>
  </si>
  <si>
    <t>=IF(A1&lt;B1,"A","B")</t>
  </si>
  <si>
    <t>picks one of two results based on a test</t>
  </si>
  <si>
    <t>COUNTIF</t>
  </si>
  <si>
    <t>=COUNTIF(A2:A13,"&gt;0")</t>
  </si>
  <si>
    <t>counts the cells that meet a condition</t>
  </si>
  <si>
    <t>ABS</t>
  </si>
  <si>
    <t>=ABS(A1-B1)</t>
  </si>
  <si>
    <t>size of a difference, without the minus sign</t>
  </si>
  <si>
    <t>What an error means</t>
  </si>
  <si>
    <t>#DIV/0!</t>
  </si>
  <si>
    <t>you divided by zero or by an empty cell — check what is right of the /</t>
  </si>
  <si>
    <t>#NAME?</t>
  </si>
  <si>
    <t>Excel does not know a word in the formula — check the spelling of a name or function (ROUNDUP, LaborCost)</t>
  </si>
  <si>
    <t>#REF!</t>
  </si>
  <si>
    <t>the formula points at a cell that was deleted — undo (Ctrl+Z) and retype</t>
  </si>
  <si>
    <t>#VALUE!</t>
  </si>
  <si>
    <t>text where a number was expected — a cell holds words or a stray space</t>
  </si>
  <si>
    <t>####</t>
  </si>
  <si>
    <t>not an error: the column is too narrow; widen it</t>
  </si>
  <si>
    <t>Practice: absolute references</t>
  </si>
  <si>
    <t>Cost = bottles × the ONE rate in B30. Type a formula in C31 and fill it down. Without a $ sign the rows below show 0 — that is the lesson.</t>
  </si>
  <si>
    <t>Rate ($/bottle)</t>
  </si>
  <si>
    <t>Month 1</t>
  </si>
  <si>
    <t>Month 2</t>
  </si>
  <si>
    <t>Month 3</t>
  </si>
  <si>
    <t>Month 4</t>
  </si>
  <si>
    <t>Month 5</t>
  </si>
  <si>
    <t>Month 6</t>
  </si>
  <si>
    <t>app</t>
  </si>
  <si>
    <t>aggregate-anxiety-excel</t>
  </si>
  <si>
    <t>schema</t>
  </si>
  <si>
    <t>model_version</t>
  </si>
  <si>
    <t>5.0.0</t>
  </si>
  <si>
    <t>seed</t>
  </si>
  <si>
    <t>config_hash</t>
  </si>
  <si>
    <t>fdf36332bcdfa8fc</t>
  </si>
  <si>
    <t>student_id</t>
  </si>
  <si>
    <t>student_name</t>
  </si>
  <si>
    <t>game</t>
  </si>
  <si>
    <t>created_utc</t>
  </si>
  <si>
    <t>2026-10-19T18:53:57Z</t>
  </si>
  <si>
    <t>workbook_id</t>
  </si>
  <si>
    <t>3c31afe24ae8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</si>
</sst>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66" formatCode="\$0.00"/>
  </numFmts>
  <fonts count="8" x14ac:knownFonts="1">
    <font>
      <sz val="11"/>
      <color theme="1"/>
      <name val="Calibri"/>
      <family val="2"/>
      <scheme val="minor"/>
    </font>
    <font>
      <b/>
      <sz val="16"/>
      <color rgb="FF1F3864"/>
      <name val="Calibri"/>
    </font>
    <font>
      <i/>
      <sz val="11"/>
      <color rgb="FF595959"/>
      <name val="Calibri"/>
    </font>
    <font>
      <b/>
      <sz val="11"/>
      <name val="Calibri"/>
    </font>
    <font>
      <sz val="11"/>
      <color rgb="FF1F4E9E"/>
      <name val="Calibri"/>
    </font>
    <font>
      <b/>
      <sz val="12"/>
      <color rgb="FF1F3864"/>
      <name val="Calibri"/>
    </font>
    <font>
      <b/>
      <sz val="11"/>
      <color rgb="FFFFFFFF"/>
      <name val="Calibri"/>
    </font>
    <font>
      <sz val="11"/>
      <color rgb="FF1F3864"/>
      <name val="Consolas"/>
    </font>
  </fonts>
  <fills count="8">
    <fill>
      <patternFill patternType="none"/>
    </fill>
    <fill>
      <patternFill patternType="gray125"/>
    </fill>
    <fill>
      <patternFill patternType="solid">
        <fgColor rgb="FFFFF2CC"/>
      </patternFill>
    </fill>
    <fill>
      <patternFill patternType="solid">
        <fgColor rgb="FFFCE4D6"/>
      </patternFill>
    </fill>
    <fill>
      <patternFill patternType="solid">
        <fgColor rgb="FFDDEBF7"/>
      </patternFill>
    </fill>
    <fill>
      <patternFill patternType="solid">
        <fgColor rgb="FFBDD7EE"/>
      </patternFill>
    </fill>
    <fill>
      <patternFill patternType="solid">
        <fgColor rgb="FF1F3864"/>
      </patternFill>
    </fill>
    <fill>
      <patternFill patternType="solid">
        <fgColor rgb="FFEDEDED"/>
      </patternFill>
    </fill>
  </fills>
  <borders count="3">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1" fontId="4" fillId="2" borderId="1" xfId="0" applyNumberFormat="1" applyFont="1" applyFill="1" applyBorder="1" applyAlignment="1">
      <alignment horizontal="left"/>
    </xf>
    <xf numFmtId="0" fontId="5" fillId="0" borderId="0" xfId="0" applyFont="1"/>
    <xf numFmtId="0" fontId="3" fillId="0" borderId="0" xfId="0" applyFont="1" applyAlignment="1">
      <alignment vertical="top" wrapText="1"/>
    </xf>
    <xf numFmtId="0" fontId="0" fillId="0" borderId="0" xfId="0" applyAlignment="1">
      <alignment vertical="top"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0" xfId="0" applyAlignment="1">
      <alignment horizontal="right"/>
    </xf>
    <xf numFmtId="0" fontId="6" fillId="6" borderId="1" xfId="0" applyFont="1" applyFill="1" applyBorder="1"/>
    <xf numFmtId="3" fontId="4" fillId="2" borderId="1" xfId="0" applyNumberFormat="1" applyFont="1" applyFill="1" applyBorder="1"/>
    <xf numFmtId="0" fontId="0" fillId="0" borderId="1" xfId="0" applyBorder="1"/>
    <xf numFmtId="0" fontId="7" fillId="0" borderId="1" xfId="0" applyFont="1" applyBorder="1"/>
    <xf numFmtId="164" fontId="4" fillId="2" borderId="1" xfId="0" applyNumberFormat="1" applyFont="1" applyFill="1" applyBorder="1"/>
    <xf numFmtId="9" fontId="4" fillId="2" borderId="1" xfId="0" applyNumberFormat="1" applyFont="1" applyFill="1" applyBorder="1"/>
    <xf numFmtId="0" fontId="6" fillId="6" borderId="1" xfId="0" applyFont="1" applyFill="1" applyBorder="1" applyAlignment="1">
      <alignment horizontal="center" vertical="center" wrapText="1"/>
    </xf>
    <xf numFmtId="0" fontId="3" fillId="3" borderId="1" xfId="0" applyFont="1" applyFill="1" applyBorder="1" applyAlignment="1" applyProtection="1">
      <alignment horizontal="center" vertical="center" wrapText="1"/>
      <protection locked="0"/>
    </xf>
    <xf numFmtId="165" fontId="0" fillId="4" borderId="1" xfId="0" applyNumberFormat="1" applyFill="1" applyBorder="1" applyProtection="1">
      <protection locked="0"/>
    </xf>
    <xf numFmtId="0" fontId="3" fillId="5" borderId="1" xfId="0" applyFont="1" applyFill="1" applyBorder="1"/>
    <xf numFmtId="0" fontId="0" fillId="7" borderId="1" xfId="0" applyFill="1" applyBorder="1"/>
    <xf numFmtId="165" fontId="3" fillId="5" borderId="1" xfId="0" applyNumberFormat="1" applyFont="1" applyFill="1" applyBorder="1" applyProtection="1">
      <protection locked="0"/>
    </xf>
    <xf numFmtId="164" fontId="0" fillId="4" borderId="1" xfId="0" applyNumberFormat="1" applyFill="1" applyBorder="1" applyProtection="1">
      <protection locked="0"/>
    </xf>
    <xf numFmtId="0" fontId="0" fillId="7" borderId="1" xfId="0" applyFill="1" applyBorder="1" applyAlignment="1">
      <alignment horizontal="center"/>
    </xf>
    <xf numFmtId="0" fontId="3" fillId="0" borderId="1" xfId="0" applyFont="1" applyBorder="1"/>
    <xf numFmtId="164" fontId="3" fillId="4" borderId="1" xfId="0" applyNumberFormat="1" applyFont="1" applyFill="1" applyBorder="1" applyProtection="1">
      <protection locked="0"/>
    </xf>
    <xf numFmtId="3" fontId="0" fillId="4" borderId="1" xfId="0" applyNumberFormat="1" applyFill="1" applyBorder="1" applyProtection="1">
      <protection locked="0"/>
    </xf>
    <xf numFmtId="0" fontId="0" fillId="4" borderId="1" xfId="0" applyFill="1" applyBorder="1" applyProtection="1">
      <protection locked="0"/>
    </xf>
    <xf numFmtId="0" fontId="3" fillId="0" borderId="1" xfId="0" applyFont="1" applyBorder="1" applyAlignment="1">
      <alignment vertical="top" wrapText="1"/>
    </xf>
    <xf numFmtId="0" fontId="7" fillId="0" borderId="0" xfId="0" applyFont="1"/>
    <xf numFmtId="166" fontId="4" fillId="2" borderId="0" xfId="0" applyNumberFormat="1" applyFont="1" applyFill="1"/>
    <xf numFmtId="3" fontId="4" fillId="2" borderId="0" xfId="0" applyNumberFormat="1" applyFont="1" applyFill="1"/>
    <xf numFmtId="0" fontId="2" fillId="0" borderId="0" xfId="0" applyFont="1" applyAlignment="1">
      <alignment vertical="top" wrapText="1"/>
    </xf>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2" xfId="0" applyBorder="1"/>
    <xf numFmtId="0" fontId="0" fillId="4" borderId="1"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41"/>
  <sheetViews>
    <sheetView showGridLines="0" tabSelected="1" workbookViewId="0"/>
  </sheetViews>
  <sheetFormatPr defaultRowHeight="15" x14ac:dyDescent="0.25"/>
  <cols>
    <col min="1" max="1" width="3" customWidth="1"/>
    <col min="2" max="2" width="24" customWidth="1"/>
    <col min="3" max="4" width="60" customWidth="1"/>
  </cols>
  <sheetData>
    <row r="1" spans="2:4" ht="21" x14ac:dyDescent="0.35">
      <c r="B1" s="1" t="s">
        <v>0</v>
      </c>
    </row>
    <row r="2" spans="2:4" x14ac:dyDescent="0.25">
      <c r="B2" s="2" t="s">
        <v>1</v>
      </c>
    </row>
    <row r="4" spans="2:4" x14ac:dyDescent="0.25">
      <c r="B4" s="3" t="s">
        <v>2</v>
      </c>
      <c r="C4" s="4" t="s">
        <v>3</v>
      </c>
      <c r="D4" s="36" t="s">
        <v>4</v>
      </c>
    </row>
    <row r="5" spans="2:4" x14ac:dyDescent="0.25">
      <c r="B5" s="3" t="s">
        <v>5</v>
      </c>
      <c r="C5" s="4" t="s">
        <v>6</v>
      </c>
      <c r="D5" s="37"/>
    </row>
    <row r="6" spans="2:4" x14ac:dyDescent="0.25">
      <c r="B6" s="3" t="s">
        <v>7</v>
      </c>
      <c r="C6" s="5">
        <v>7</v>
      </c>
      <c r="D6" s="37"/>
    </row>
    <row r="8" spans="2:4" ht="15.75" x14ac:dyDescent="0.25">
      <c r="B8" s="6" t="s">
        <v>8</v>
      </c>
    </row>
    <row r="9" spans="2:4" x14ac:dyDescent="0.25">
      <c r="B9" s="7" t="s">
        <v>9</v>
      </c>
      <c r="C9" s="38" t="s">
        <v>10</v>
      </c>
      <c r="D9" s="37"/>
    </row>
    <row r="10" spans="2:4" x14ac:dyDescent="0.25">
      <c r="B10" s="7" t="s">
        <v>11</v>
      </c>
      <c r="C10" s="38" t="s">
        <v>12</v>
      </c>
      <c r="D10" s="37"/>
    </row>
    <row r="11" spans="2:4" x14ac:dyDescent="0.25">
      <c r="B11" s="7" t="s">
        <v>13</v>
      </c>
      <c r="C11" s="38" t="s">
        <v>14</v>
      </c>
      <c r="D11" s="37"/>
    </row>
    <row r="12" spans="2:4" x14ac:dyDescent="0.25">
      <c r="B12" s="7" t="s">
        <v>15</v>
      </c>
      <c r="C12" s="38" t="s">
        <v>16</v>
      </c>
      <c r="D12" s="37"/>
    </row>
    <row r="13" spans="2:4" x14ac:dyDescent="0.25">
      <c r="B13" s="7" t="s">
        <v>17</v>
      </c>
      <c r="C13" s="38" t="s">
        <v>18</v>
      </c>
      <c r="D13" s="37"/>
    </row>
    <row r="15" spans="2:4" ht="15.75" x14ac:dyDescent="0.25">
      <c r="B15" s="6" t="s">
        <v>19</v>
      </c>
    </row>
    <row r="16" spans="2:4" x14ac:dyDescent="0.25">
      <c r="B16" s="9"/>
      <c r="C16" t="s">
        <v>20</v>
      </c>
    </row>
    <row r="17" spans="2:4" x14ac:dyDescent="0.25">
      <c r="B17" s="10"/>
      <c r="C17" t="s">
        <v>21</v>
      </c>
    </row>
    <row r="18" spans="2:4" x14ac:dyDescent="0.25">
      <c r="B18" s="11"/>
      <c r="C18" t="s">
        <v>22</v>
      </c>
    </row>
    <row r="19" spans="2:4" x14ac:dyDescent="0.25">
      <c r="B19" s="12"/>
      <c r="C19" t="s">
        <v>23</v>
      </c>
    </row>
    <row r="21" spans="2:4" ht="15.75" x14ac:dyDescent="0.25">
      <c r="B21" s="6" t="s">
        <v>24</v>
      </c>
    </row>
    <row r="22" spans="2:4" ht="32.1" customHeight="1" x14ac:dyDescent="0.25">
      <c r="B22" s="38" t="s">
        <v>25</v>
      </c>
      <c r="C22" s="37"/>
      <c r="D22" s="37"/>
    </row>
    <row r="24" spans="2:4" ht="15.75" x14ac:dyDescent="0.25">
      <c r="B24" s="6" t="s">
        <v>26</v>
      </c>
    </row>
    <row r="25" spans="2:4" x14ac:dyDescent="0.25">
      <c r="B25" s="13" t="s">
        <v>27</v>
      </c>
      <c r="C25" t="s">
        <v>28</v>
      </c>
    </row>
    <row r="26" spans="2:4" x14ac:dyDescent="0.25">
      <c r="B26" s="13" t="s">
        <v>29</v>
      </c>
      <c r="C26" t="s">
        <v>30</v>
      </c>
    </row>
    <row r="27" spans="2:4" x14ac:dyDescent="0.25">
      <c r="B27" s="13" t="s">
        <v>31</v>
      </c>
      <c r="C27" t="s">
        <v>32</v>
      </c>
    </row>
    <row r="28" spans="2:4" x14ac:dyDescent="0.25">
      <c r="B28" s="13" t="s">
        <v>33</v>
      </c>
      <c r="C28" t="s">
        <v>34</v>
      </c>
    </row>
    <row r="29" spans="2:4" x14ac:dyDescent="0.25">
      <c r="B29" s="13" t="s">
        <v>35</v>
      </c>
      <c r="C29" t="s">
        <v>36</v>
      </c>
    </row>
    <row r="30" spans="2:4" x14ac:dyDescent="0.25">
      <c r="B30" s="13" t="s">
        <v>37</v>
      </c>
      <c r="C30" t="s">
        <v>38</v>
      </c>
    </row>
    <row r="31" spans="2:4" x14ac:dyDescent="0.25">
      <c r="B31" s="13" t="s">
        <v>39</v>
      </c>
      <c r="C31" t="s">
        <v>40</v>
      </c>
    </row>
    <row r="32" spans="2:4" x14ac:dyDescent="0.25">
      <c r="B32" s="13" t="s">
        <v>41</v>
      </c>
      <c r="C32" t="s">
        <v>42</v>
      </c>
    </row>
    <row r="33" spans="2:3" x14ac:dyDescent="0.25">
      <c r="B33" s="13" t="s">
        <v>43</v>
      </c>
      <c r="C33" t="s">
        <v>44</v>
      </c>
    </row>
    <row r="34" spans="2:3" x14ac:dyDescent="0.25">
      <c r="B34" s="13" t="s">
        <v>45</v>
      </c>
      <c r="C34" t="s">
        <v>46</v>
      </c>
    </row>
    <row r="35" spans="2:3" x14ac:dyDescent="0.25">
      <c r="B35" s="13" t="s">
        <v>47</v>
      </c>
      <c r="C35" t="s">
        <v>48</v>
      </c>
    </row>
    <row r="36" spans="2:3" x14ac:dyDescent="0.25">
      <c r="B36" s="13" t="s">
        <v>49</v>
      </c>
      <c r="C36" t="s">
        <v>50</v>
      </c>
    </row>
    <row r="37" spans="2:3" x14ac:dyDescent="0.25">
      <c r="B37" s="13" t="s">
        <v>51</v>
      </c>
      <c r="C37" t="s">
        <v>52</v>
      </c>
    </row>
    <row r="38" spans="2:3" x14ac:dyDescent="0.25">
      <c r="B38" s="13" t="s">
        <v>53</v>
      </c>
      <c r="C38" t="s">
        <v>54</v>
      </c>
    </row>
    <row r="40" spans="2:3" x14ac:dyDescent="0.25">
      <c r="B40" s="2" t="s">
        <v>55</v>
      </c>
    </row>
    <row r="41" spans="2:3" x14ac:dyDescent="0.25">
      <c r="B41" s="2" t="s">
        <v>56</v>
      </c>
    </row>
  </sheetData>
  <sheetProtection sheet="1" formatCells="0" formatColumns="0" formatRows="0"/>
  <mergeCells count="7">
    <mergeCell ref="D4:D6"/>
    <mergeCell ref="C12:D12"/>
    <mergeCell ref="C10:D10"/>
    <mergeCell ref="C11:D11"/>
    <mergeCell ref="B22:D22"/>
    <mergeCell ref="C13:D13"/>
    <mergeCell ref="C9:D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showGridLines="0" workbookViewId="0"/>
  </sheetViews>
  <sheetFormatPr defaultRowHeight="15" x14ac:dyDescent="0.25"/>
  <cols>
    <col min="1" max="1" width="13" customWidth="1"/>
    <col min="2" max="2" width="17" customWidth="1"/>
    <col min="3" max="4" width="3" customWidth="1"/>
    <col min="5" max="5" width="66" customWidth="1"/>
    <col min="6" max="6" width="13" customWidth="1"/>
    <col min="7" max="7" width="17" customWidth="1"/>
    <col min="8" max="8" width="16" customWidth="1"/>
  </cols>
  <sheetData>
    <row r="1" spans="1:8" ht="21" x14ac:dyDescent="0.35">
      <c r="A1" s="1" t="s">
        <v>57</v>
      </c>
    </row>
    <row r="2" spans="1:8" x14ac:dyDescent="0.25">
      <c r="A2" s="2" t="s">
        <v>58</v>
      </c>
    </row>
    <row r="4" spans="1:8" ht="15.75" x14ac:dyDescent="0.25">
      <c r="A4" s="6" t="s">
        <v>59</v>
      </c>
      <c r="E4" s="6" t="s">
        <v>60</v>
      </c>
    </row>
    <row r="5" spans="1:8" x14ac:dyDescent="0.25">
      <c r="A5" s="14" t="s">
        <v>61</v>
      </c>
      <c r="B5" s="14" t="s">
        <v>62</v>
      </c>
      <c r="E5" s="14" t="s">
        <v>63</v>
      </c>
      <c r="F5" s="14" t="s">
        <v>64</v>
      </c>
      <c r="G5" s="14" t="s">
        <v>65</v>
      </c>
      <c r="H5" s="14" t="s">
        <v>66</v>
      </c>
    </row>
    <row r="6" spans="1:8" x14ac:dyDescent="0.25">
      <c r="A6" s="4" t="s">
        <v>67</v>
      </c>
      <c r="B6" s="15">
        <v>7000</v>
      </c>
      <c r="E6" s="16" t="s">
        <v>68</v>
      </c>
      <c r="F6" s="15">
        <v>2400</v>
      </c>
      <c r="G6" s="17" t="s">
        <v>69</v>
      </c>
      <c r="H6" s="16" t="s">
        <v>70</v>
      </c>
    </row>
    <row r="7" spans="1:8" x14ac:dyDescent="0.25">
      <c r="A7" s="4" t="s">
        <v>71</v>
      </c>
      <c r="B7" s="15">
        <v>6000</v>
      </c>
      <c r="E7" s="16" t="s">
        <v>72</v>
      </c>
      <c r="F7" s="15">
        <v>2400</v>
      </c>
      <c r="G7" s="17" t="s">
        <v>73</v>
      </c>
      <c r="H7" s="16" t="s">
        <v>70</v>
      </c>
    </row>
    <row r="8" spans="1:8" x14ac:dyDescent="0.25">
      <c r="A8" s="4" t="s">
        <v>74</v>
      </c>
      <c r="B8" s="15">
        <v>7000</v>
      </c>
      <c r="E8" s="16" t="s">
        <v>75</v>
      </c>
      <c r="F8" s="15">
        <v>0</v>
      </c>
      <c r="G8" s="17" t="s">
        <v>76</v>
      </c>
      <c r="H8" s="16" t="s">
        <v>70</v>
      </c>
    </row>
    <row r="9" spans="1:8" x14ac:dyDescent="0.25">
      <c r="A9" s="4" t="s">
        <v>77</v>
      </c>
      <c r="B9" s="15">
        <v>11500</v>
      </c>
      <c r="E9" s="16" t="s">
        <v>78</v>
      </c>
      <c r="F9" s="15">
        <v>30000</v>
      </c>
      <c r="G9" s="17" t="s">
        <v>79</v>
      </c>
      <c r="H9" s="16" t="s">
        <v>70</v>
      </c>
    </row>
    <row r="10" spans="1:8" x14ac:dyDescent="0.25">
      <c r="A10" s="4" t="s">
        <v>80</v>
      </c>
      <c r="B10" s="15">
        <v>13000</v>
      </c>
      <c r="E10" s="16" t="s">
        <v>81</v>
      </c>
      <c r="F10" s="15">
        <v>8</v>
      </c>
      <c r="G10" s="17" t="s">
        <v>82</v>
      </c>
      <c r="H10" s="16" t="s">
        <v>83</v>
      </c>
    </row>
    <row r="11" spans="1:8" x14ac:dyDescent="0.25">
      <c r="A11" s="4" t="s">
        <v>84</v>
      </c>
      <c r="B11" s="15">
        <v>16500</v>
      </c>
      <c r="E11" s="16" t="s">
        <v>85</v>
      </c>
      <c r="F11" s="15">
        <v>5</v>
      </c>
      <c r="G11" s="17" t="s">
        <v>86</v>
      </c>
      <c r="H11" s="16" t="s">
        <v>87</v>
      </c>
    </row>
    <row r="12" spans="1:8" x14ac:dyDescent="0.25">
      <c r="A12" s="4" t="s">
        <v>88</v>
      </c>
      <c r="B12" s="15">
        <v>18500</v>
      </c>
      <c r="E12" s="16" t="s">
        <v>89</v>
      </c>
      <c r="F12" s="15">
        <v>8</v>
      </c>
      <c r="G12" s="17" t="s">
        <v>90</v>
      </c>
      <c r="H12" s="16" t="s">
        <v>91</v>
      </c>
    </row>
    <row r="13" spans="1:8" x14ac:dyDescent="0.25">
      <c r="A13" s="4" t="s">
        <v>92</v>
      </c>
      <c r="B13" s="15">
        <v>14000</v>
      </c>
      <c r="E13" s="16" t="s">
        <v>93</v>
      </c>
      <c r="F13" s="15">
        <v>25</v>
      </c>
      <c r="G13" s="17" t="s">
        <v>94</v>
      </c>
      <c r="H13" s="16" t="s">
        <v>95</v>
      </c>
    </row>
    <row r="14" spans="1:8" x14ac:dyDescent="0.25">
      <c r="A14" s="4" t="s">
        <v>96</v>
      </c>
      <c r="B14" s="15">
        <v>10500</v>
      </c>
      <c r="E14" s="16" t="s">
        <v>97</v>
      </c>
      <c r="F14" s="18">
        <v>3200</v>
      </c>
      <c r="G14" s="17" t="s">
        <v>98</v>
      </c>
      <c r="H14" s="16" t="s">
        <v>99</v>
      </c>
    </row>
    <row r="15" spans="1:8" x14ac:dyDescent="0.25">
      <c r="A15" s="4" t="s">
        <v>100</v>
      </c>
      <c r="B15" s="15">
        <v>9000</v>
      </c>
      <c r="E15" s="16" t="s">
        <v>101</v>
      </c>
      <c r="F15" s="18">
        <v>600</v>
      </c>
      <c r="G15" s="17" t="s">
        <v>102</v>
      </c>
      <c r="H15" s="16" t="s">
        <v>103</v>
      </c>
    </row>
    <row r="16" spans="1:8" x14ac:dyDescent="0.25">
      <c r="A16" s="4" t="s">
        <v>104</v>
      </c>
      <c r="B16" s="15">
        <v>7000</v>
      </c>
      <c r="E16" s="16" t="s">
        <v>105</v>
      </c>
      <c r="F16" s="18">
        <v>900</v>
      </c>
      <c r="G16" s="17" t="s">
        <v>106</v>
      </c>
      <c r="H16" s="16" t="s">
        <v>103</v>
      </c>
    </row>
    <row r="17" spans="1:8" x14ac:dyDescent="0.25">
      <c r="A17" s="4" t="s">
        <v>107</v>
      </c>
      <c r="B17" s="15">
        <v>6000</v>
      </c>
      <c r="E17" s="16" t="s">
        <v>108</v>
      </c>
      <c r="F17" s="18">
        <v>0.25</v>
      </c>
      <c r="G17" s="17" t="s">
        <v>109</v>
      </c>
      <c r="H17" s="16" t="s">
        <v>110</v>
      </c>
    </row>
    <row r="18" spans="1:8" x14ac:dyDescent="0.25">
      <c r="E18" s="16" t="s">
        <v>111</v>
      </c>
      <c r="F18" s="18">
        <v>1.5</v>
      </c>
      <c r="G18" s="17" t="s">
        <v>112</v>
      </c>
      <c r="H18" s="16" t="s">
        <v>110</v>
      </c>
    </row>
    <row r="19" spans="1:8" x14ac:dyDescent="0.25">
      <c r="E19" s="16" t="s">
        <v>113</v>
      </c>
      <c r="F19" s="19">
        <v>0.2</v>
      </c>
      <c r="G19" s="17" t="s">
        <v>114</v>
      </c>
      <c r="H19" s="16" t="s">
        <v>115</v>
      </c>
    </row>
    <row r="20" spans="1:8" x14ac:dyDescent="0.25">
      <c r="E20" s="16" t="s">
        <v>116</v>
      </c>
      <c r="F20" s="18">
        <v>4.5</v>
      </c>
      <c r="G20" s="17" t="s">
        <v>117</v>
      </c>
      <c r="H20" s="16" t="s">
        <v>118</v>
      </c>
    </row>
    <row r="21" spans="1:8" x14ac:dyDescent="0.25">
      <c r="E21" s="16" t="s">
        <v>119</v>
      </c>
      <c r="F21" s="18">
        <v>5.25</v>
      </c>
      <c r="G21" s="17" t="s">
        <v>120</v>
      </c>
      <c r="H21" s="16" t="s">
        <v>118</v>
      </c>
    </row>
    <row r="22" spans="1:8" x14ac:dyDescent="0.25">
      <c r="E22" s="16" t="s">
        <v>121</v>
      </c>
      <c r="F22" s="15">
        <v>5000</v>
      </c>
      <c r="G22" s="17" t="s">
        <v>122</v>
      </c>
      <c r="H22" s="16" t="s">
        <v>123</v>
      </c>
    </row>
  </sheetData>
  <sheetProtection sheet="1" formatCells="0" formatColumns="0" formatRows="0"/>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1"/>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61</v>
      </c>
      <c r="B1" s="20" t="s">
        <v>124</v>
      </c>
      <c r="C1" s="21" t="s">
        <v>125</v>
      </c>
      <c r="D1" s="21" t="s">
        <v>126</v>
      </c>
      <c r="E1" s="21" t="s">
        <v>127</v>
      </c>
      <c r="F1" s="21" t="s">
        <v>128</v>
      </c>
      <c r="G1" s="21" t="s">
        <v>129</v>
      </c>
      <c r="H1" s="21" t="s">
        <v>130</v>
      </c>
      <c r="I1" s="21" t="s">
        <v>131</v>
      </c>
      <c r="J1" s="21" t="s">
        <v>132</v>
      </c>
      <c r="K1" s="21" t="s">
        <v>133</v>
      </c>
      <c r="L1" s="21" t="s">
        <v>134</v>
      </c>
      <c r="M1" s="21" t="s">
        <v>135</v>
      </c>
      <c r="N1" s="21" t="s">
        <v>136</v>
      </c>
      <c r="O1" s="21" t="s">
        <v>137</v>
      </c>
      <c r="P1" s="21" t="s">
        <v>138</v>
      </c>
      <c r="Q1" s="21" t="s">
        <v>139</v>
      </c>
      <c r="R1" s="21"/>
      <c r="S1" s="21"/>
      <c r="T1" s="21"/>
      <c r="U1" s="21"/>
      <c r="V1" s="21"/>
      <c r="W1" s="21"/>
      <c r="X1" s="21"/>
      <c r="Y1" s="21"/>
      <c r="Z1" s="21"/>
      <c r="AA1" s="21"/>
      <c r="AB1" s="21"/>
      <c r="AC1" s="21"/>
      <c r="AD1" s="21"/>
    </row>
    <row r="2" spans="1:30" x14ac:dyDescent="0.25">
      <c r="A2" s="4" t="s">
        <v>67</v>
      </c>
      <c r="B2" s="15">
        <v>7000</v>
      </c>
      <c r="C2" s="22">
        <f>BeginInv</f>
        <v>2400</v>
      </c>
      <c r="D2" s="22">
        <f>0</f>
        <v>0</v>
      </c>
      <c r="E2" s="22">
        <f t="shared" ref="E2:E13" si="0">MAX(0,B2+$C$18-C2+D2)</f>
        <v>4600</v>
      </c>
      <c r="F2" s="22">
        <f t="shared" ref="F2:F13" si="1">ROUNDUP(E2/$C$17,0)</f>
        <v>5</v>
      </c>
      <c r="G2" s="22">
        <f t="shared" ref="G2:G13" si="2">F2*$C$17</f>
        <v>5000</v>
      </c>
      <c r="H2" s="22">
        <f>MAX(0,F2-StartWorkers)</f>
        <v>0</v>
      </c>
      <c r="I2" s="22">
        <f>MAX(0,StartWorkers-F2)</f>
        <v>3</v>
      </c>
      <c r="J2" s="22">
        <f t="shared" ref="J2:J13" si="3">MAX(0,B2+D2-C2-E2)</f>
        <v>0</v>
      </c>
      <c r="K2" s="22">
        <f t="shared" ref="K2:K13" si="4">MAX(0,C2+E2-D2-B2)</f>
        <v>0</v>
      </c>
      <c r="L2" s="22">
        <f t="shared" ref="L2:L13" si="5">F2*LaborCost</f>
        <v>16000</v>
      </c>
      <c r="M2" s="22">
        <f t="shared" ref="M2:M13" si="6">K2*HoldCost</f>
        <v>0</v>
      </c>
      <c r="N2" s="22">
        <f t="shared" ref="N2:N13" si="7">J2*BackorderCost</f>
        <v>0</v>
      </c>
      <c r="O2" s="22">
        <f t="shared" ref="O2:O13" si="8">H2*HireCost</f>
        <v>0</v>
      </c>
      <c r="P2" s="22">
        <f t="shared" ref="P2:P13" si="9">I2*LayoffCost</f>
        <v>2700</v>
      </c>
      <c r="Q2" s="22">
        <f t="shared" ref="Q2:Q13" si="10">L2+O2+P2+M2+N2</f>
        <v>18700</v>
      </c>
      <c r="R2" s="22"/>
      <c r="S2" s="22"/>
      <c r="T2" s="22"/>
      <c r="U2" s="22"/>
      <c r="V2" s="22"/>
      <c r="W2" s="22"/>
      <c r="X2" s="22"/>
      <c r="Y2" s="22"/>
      <c r="Z2" s="22"/>
      <c r="AA2" s="22"/>
      <c r="AB2" s="22"/>
      <c r="AC2" s="22"/>
      <c r="AD2" s="22"/>
    </row>
    <row r="3" spans="1:30" x14ac:dyDescent="0.25">
      <c r="A3" s="4" t="s">
        <v>71</v>
      </c>
      <c r="B3" s="15">
        <v>6000</v>
      </c>
      <c r="C3" s="22">
        <f t="shared" ref="C3:C13" si="11">K2</f>
        <v>0</v>
      </c>
      <c r="D3" s="22">
        <f t="shared" ref="D3:D13" si="12">J2</f>
        <v>0</v>
      </c>
      <c r="E3" s="22">
        <f t="shared" si="0"/>
        <v>6000</v>
      </c>
      <c r="F3" s="22">
        <f t="shared" si="1"/>
        <v>6</v>
      </c>
      <c r="G3" s="22">
        <f t="shared" si="2"/>
        <v>6000</v>
      </c>
      <c r="H3" s="22">
        <f t="shared" ref="H3:H13" si="13">MAX(0,F3-F2)</f>
        <v>1</v>
      </c>
      <c r="I3" s="22">
        <f t="shared" ref="I3:I13" si="14">MAX(0,F2-F3)</f>
        <v>0</v>
      </c>
      <c r="J3" s="22">
        <f t="shared" si="3"/>
        <v>0</v>
      </c>
      <c r="K3" s="22">
        <f t="shared" si="4"/>
        <v>0</v>
      </c>
      <c r="L3" s="22">
        <f t="shared" si="5"/>
        <v>19200</v>
      </c>
      <c r="M3" s="22">
        <f t="shared" si="6"/>
        <v>0</v>
      </c>
      <c r="N3" s="22">
        <f t="shared" si="7"/>
        <v>0</v>
      </c>
      <c r="O3" s="22">
        <f t="shared" si="8"/>
        <v>600</v>
      </c>
      <c r="P3" s="22">
        <f t="shared" si="9"/>
        <v>0</v>
      </c>
      <c r="Q3" s="22">
        <f t="shared" si="10"/>
        <v>19800</v>
      </c>
      <c r="R3" s="22"/>
      <c r="S3" s="22"/>
      <c r="T3" s="22"/>
      <c r="U3" s="22"/>
      <c r="V3" s="22"/>
      <c r="W3" s="22"/>
      <c r="X3" s="22"/>
      <c r="Y3" s="22"/>
      <c r="Z3" s="22"/>
      <c r="AA3" s="22"/>
      <c r="AB3" s="22"/>
      <c r="AC3" s="22"/>
      <c r="AD3" s="22"/>
    </row>
    <row r="4" spans="1:30" x14ac:dyDescent="0.25">
      <c r="A4" s="4" t="s">
        <v>74</v>
      </c>
      <c r="B4" s="15">
        <v>7000</v>
      </c>
      <c r="C4" s="22">
        <f t="shared" si="11"/>
        <v>0</v>
      </c>
      <c r="D4" s="22">
        <f t="shared" si="12"/>
        <v>0</v>
      </c>
      <c r="E4" s="22">
        <f t="shared" si="0"/>
        <v>7000</v>
      </c>
      <c r="F4" s="22">
        <f t="shared" si="1"/>
        <v>7</v>
      </c>
      <c r="G4" s="22">
        <f t="shared" si="2"/>
        <v>7000</v>
      </c>
      <c r="H4" s="22">
        <f t="shared" si="13"/>
        <v>1</v>
      </c>
      <c r="I4" s="22">
        <f t="shared" si="14"/>
        <v>0</v>
      </c>
      <c r="J4" s="22">
        <f t="shared" si="3"/>
        <v>0</v>
      </c>
      <c r="K4" s="22">
        <f t="shared" si="4"/>
        <v>0</v>
      </c>
      <c r="L4" s="22">
        <f t="shared" si="5"/>
        <v>22400</v>
      </c>
      <c r="M4" s="22">
        <f t="shared" si="6"/>
        <v>0</v>
      </c>
      <c r="N4" s="22">
        <f t="shared" si="7"/>
        <v>0</v>
      </c>
      <c r="O4" s="22">
        <f t="shared" si="8"/>
        <v>600</v>
      </c>
      <c r="P4" s="22">
        <f t="shared" si="9"/>
        <v>0</v>
      </c>
      <c r="Q4" s="22">
        <f t="shared" si="10"/>
        <v>23000</v>
      </c>
      <c r="R4" s="22"/>
      <c r="S4" s="22"/>
      <c r="T4" s="22"/>
      <c r="U4" s="22"/>
      <c r="V4" s="22"/>
      <c r="W4" s="22"/>
      <c r="X4" s="22"/>
      <c r="Y4" s="22"/>
      <c r="Z4" s="22"/>
      <c r="AA4" s="22"/>
      <c r="AB4" s="22"/>
      <c r="AC4" s="22"/>
      <c r="AD4" s="22"/>
    </row>
    <row r="5" spans="1:30" x14ac:dyDescent="0.25">
      <c r="A5" s="4" t="s">
        <v>77</v>
      </c>
      <c r="B5" s="15">
        <v>11500</v>
      </c>
      <c r="C5" s="22">
        <f t="shared" si="11"/>
        <v>0</v>
      </c>
      <c r="D5" s="22">
        <f t="shared" si="12"/>
        <v>0</v>
      </c>
      <c r="E5" s="22">
        <f t="shared" si="0"/>
        <v>11500</v>
      </c>
      <c r="F5" s="22">
        <f t="shared" si="1"/>
        <v>12</v>
      </c>
      <c r="G5" s="22">
        <f t="shared" si="2"/>
        <v>12000</v>
      </c>
      <c r="H5" s="22">
        <f t="shared" si="13"/>
        <v>5</v>
      </c>
      <c r="I5" s="22">
        <f t="shared" si="14"/>
        <v>0</v>
      </c>
      <c r="J5" s="22">
        <f t="shared" si="3"/>
        <v>0</v>
      </c>
      <c r="K5" s="22">
        <f t="shared" si="4"/>
        <v>0</v>
      </c>
      <c r="L5" s="22">
        <f t="shared" si="5"/>
        <v>38400</v>
      </c>
      <c r="M5" s="22">
        <f t="shared" si="6"/>
        <v>0</v>
      </c>
      <c r="N5" s="22">
        <f t="shared" si="7"/>
        <v>0</v>
      </c>
      <c r="O5" s="22">
        <f t="shared" si="8"/>
        <v>3000</v>
      </c>
      <c r="P5" s="22">
        <f t="shared" si="9"/>
        <v>0</v>
      </c>
      <c r="Q5" s="22">
        <f t="shared" si="10"/>
        <v>41400</v>
      </c>
      <c r="R5" s="22"/>
      <c r="S5" s="22"/>
      <c r="T5" s="22"/>
      <c r="U5" s="22"/>
      <c r="V5" s="22"/>
      <c r="W5" s="22"/>
      <c r="X5" s="22"/>
      <c r="Y5" s="22"/>
      <c r="Z5" s="22"/>
      <c r="AA5" s="22"/>
      <c r="AB5" s="22"/>
      <c r="AC5" s="22"/>
      <c r="AD5" s="22"/>
    </row>
    <row r="6" spans="1:30" x14ac:dyDescent="0.25">
      <c r="A6" s="4" t="s">
        <v>80</v>
      </c>
      <c r="B6" s="15">
        <v>13000</v>
      </c>
      <c r="C6" s="22">
        <f t="shared" si="11"/>
        <v>0</v>
      </c>
      <c r="D6" s="22">
        <f t="shared" si="12"/>
        <v>0</v>
      </c>
      <c r="E6" s="22">
        <f t="shared" si="0"/>
        <v>13000</v>
      </c>
      <c r="F6" s="22">
        <f t="shared" si="1"/>
        <v>13</v>
      </c>
      <c r="G6" s="22">
        <f t="shared" si="2"/>
        <v>13000</v>
      </c>
      <c r="H6" s="22">
        <f t="shared" si="13"/>
        <v>1</v>
      </c>
      <c r="I6" s="22">
        <f t="shared" si="14"/>
        <v>0</v>
      </c>
      <c r="J6" s="22">
        <f t="shared" si="3"/>
        <v>0</v>
      </c>
      <c r="K6" s="22">
        <f t="shared" si="4"/>
        <v>0</v>
      </c>
      <c r="L6" s="22">
        <f t="shared" si="5"/>
        <v>41600</v>
      </c>
      <c r="M6" s="22">
        <f t="shared" si="6"/>
        <v>0</v>
      </c>
      <c r="N6" s="22">
        <f t="shared" si="7"/>
        <v>0</v>
      </c>
      <c r="O6" s="22">
        <f t="shared" si="8"/>
        <v>600</v>
      </c>
      <c r="P6" s="22">
        <f t="shared" si="9"/>
        <v>0</v>
      </c>
      <c r="Q6" s="22">
        <f t="shared" si="10"/>
        <v>42200</v>
      </c>
      <c r="R6" s="22"/>
      <c r="S6" s="22"/>
      <c r="T6" s="22"/>
      <c r="U6" s="22"/>
      <c r="V6" s="22"/>
      <c r="W6" s="22"/>
      <c r="X6" s="22"/>
      <c r="Y6" s="22"/>
      <c r="Z6" s="22"/>
      <c r="AA6" s="22"/>
      <c r="AB6" s="22"/>
      <c r="AC6" s="22"/>
      <c r="AD6" s="22"/>
    </row>
    <row r="7" spans="1:30" x14ac:dyDescent="0.25">
      <c r="A7" s="4" t="s">
        <v>84</v>
      </c>
      <c r="B7" s="15">
        <v>16500</v>
      </c>
      <c r="C7" s="22">
        <f t="shared" si="11"/>
        <v>0</v>
      </c>
      <c r="D7" s="22">
        <f t="shared" si="12"/>
        <v>0</v>
      </c>
      <c r="E7" s="22">
        <f t="shared" si="0"/>
        <v>16500</v>
      </c>
      <c r="F7" s="22">
        <f t="shared" si="1"/>
        <v>17</v>
      </c>
      <c r="G7" s="22">
        <f t="shared" si="2"/>
        <v>17000</v>
      </c>
      <c r="H7" s="22">
        <f t="shared" si="13"/>
        <v>4</v>
      </c>
      <c r="I7" s="22">
        <f t="shared" si="14"/>
        <v>0</v>
      </c>
      <c r="J7" s="22">
        <f t="shared" si="3"/>
        <v>0</v>
      </c>
      <c r="K7" s="22">
        <f t="shared" si="4"/>
        <v>0</v>
      </c>
      <c r="L7" s="22">
        <f t="shared" si="5"/>
        <v>54400</v>
      </c>
      <c r="M7" s="22">
        <f t="shared" si="6"/>
        <v>0</v>
      </c>
      <c r="N7" s="22">
        <f t="shared" si="7"/>
        <v>0</v>
      </c>
      <c r="O7" s="22">
        <f t="shared" si="8"/>
        <v>2400</v>
      </c>
      <c r="P7" s="22">
        <f t="shared" si="9"/>
        <v>0</v>
      </c>
      <c r="Q7" s="22">
        <f t="shared" si="10"/>
        <v>56800</v>
      </c>
      <c r="R7" s="22"/>
      <c r="S7" s="22"/>
      <c r="T7" s="22"/>
      <c r="U7" s="22"/>
      <c r="V7" s="22"/>
      <c r="W7" s="22"/>
      <c r="X7" s="22"/>
      <c r="Y7" s="22"/>
      <c r="Z7" s="22"/>
      <c r="AA7" s="22"/>
      <c r="AB7" s="22"/>
      <c r="AC7" s="22"/>
      <c r="AD7" s="22"/>
    </row>
    <row r="8" spans="1:30" x14ac:dyDescent="0.25">
      <c r="A8" s="4" t="s">
        <v>88</v>
      </c>
      <c r="B8" s="15">
        <v>18500</v>
      </c>
      <c r="C8" s="22">
        <f t="shared" si="11"/>
        <v>0</v>
      </c>
      <c r="D8" s="22">
        <f t="shared" si="12"/>
        <v>0</v>
      </c>
      <c r="E8" s="22">
        <f t="shared" si="0"/>
        <v>18500</v>
      </c>
      <c r="F8" s="22">
        <f t="shared" si="1"/>
        <v>19</v>
      </c>
      <c r="G8" s="22">
        <f t="shared" si="2"/>
        <v>19000</v>
      </c>
      <c r="H8" s="22">
        <f t="shared" si="13"/>
        <v>2</v>
      </c>
      <c r="I8" s="22">
        <f t="shared" si="14"/>
        <v>0</v>
      </c>
      <c r="J8" s="22">
        <f t="shared" si="3"/>
        <v>0</v>
      </c>
      <c r="K8" s="22">
        <f t="shared" si="4"/>
        <v>0</v>
      </c>
      <c r="L8" s="22">
        <f t="shared" si="5"/>
        <v>60800</v>
      </c>
      <c r="M8" s="22">
        <f t="shared" si="6"/>
        <v>0</v>
      </c>
      <c r="N8" s="22">
        <f t="shared" si="7"/>
        <v>0</v>
      </c>
      <c r="O8" s="22">
        <f t="shared" si="8"/>
        <v>1200</v>
      </c>
      <c r="P8" s="22">
        <f t="shared" si="9"/>
        <v>0</v>
      </c>
      <c r="Q8" s="22">
        <f t="shared" si="10"/>
        <v>62000</v>
      </c>
      <c r="R8" s="22"/>
      <c r="S8" s="22"/>
      <c r="T8" s="22"/>
      <c r="U8" s="22"/>
      <c r="V8" s="22"/>
      <c r="W8" s="22"/>
      <c r="X8" s="22"/>
      <c r="Y8" s="22"/>
      <c r="Z8" s="22"/>
      <c r="AA8" s="22"/>
      <c r="AB8" s="22"/>
      <c r="AC8" s="22"/>
      <c r="AD8" s="22"/>
    </row>
    <row r="9" spans="1:30" x14ac:dyDescent="0.25">
      <c r="A9" s="4" t="s">
        <v>92</v>
      </c>
      <c r="B9" s="15">
        <v>14000</v>
      </c>
      <c r="C9" s="22">
        <f t="shared" si="11"/>
        <v>0</v>
      </c>
      <c r="D9" s="22">
        <f t="shared" si="12"/>
        <v>0</v>
      </c>
      <c r="E9" s="22">
        <f t="shared" si="0"/>
        <v>14000</v>
      </c>
      <c r="F9" s="22">
        <f t="shared" si="1"/>
        <v>14</v>
      </c>
      <c r="G9" s="22">
        <f t="shared" si="2"/>
        <v>14000</v>
      </c>
      <c r="H9" s="22">
        <f t="shared" si="13"/>
        <v>0</v>
      </c>
      <c r="I9" s="22">
        <f t="shared" si="14"/>
        <v>5</v>
      </c>
      <c r="J9" s="22">
        <f t="shared" si="3"/>
        <v>0</v>
      </c>
      <c r="K9" s="22">
        <f t="shared" si="4"/>
        <v>0</v>
      </c>
      <c r="L9" s="22">
        <f t="shared" si="5"/>
        <v>44800</v>
      </c>
      <c r="M9" s="22">
        <f t="shared" si="6"/>
        <v>0</v>
      </c>
      <c r="N9" s="22">
        <f t="shared" si="7"/>
        <v>0</v>
      </c>
      <c r="O9" s="22">
        <f t="shared" si="8"/>
        <v>0</v>
      </c>
      <c r="P9" s="22">
        <f t="shared" si="9"/>
        <v>4500</v>
      </c>
      <c r="Q9" s="22">
        <f t="shared" si="10"/>
        <v>49300</v>
      </c>
      <c r="R9" s="22"/>
      <c r="S9" s="22"/>
      <c r="T9" s="22"/>
      <c r="U9" s="22"/>
      <c r="V9" s="22"/>
      <c r="W9" s="22"/>
      <c r="X9" s="22"/>
      <c r="Y9" s="22"/>
      <c r="Z9" s="22"/>
      <c r="AA9" s="22"/>
      <c r="AB9" s="22"/>
      <c r="AC9" s="22"/>
      <c r="AD9" s="22"/>
    </row>
    <row r="10" spans="1:30" x14ac:dyDescent="0.25">
      <c r="A10" s="4" t="s">
        <v>96</v>
      </c>
      <c r="B10" s="15">
        <v>10500</v>
      </c>
      <c r="C10" s="22">
        <f t="shared" si="11"/>
        <v>0</v>
      </c>
      <c r="D10" s="22">
        <f t="shared" si="12"/>
        <v>0</v>
      </c>
      <c r="E10" s="22">
        <f t="shared" si="0"/>
        <v>10500</v>
      </c>
      <c r="F10" s="22">
        <f t="shared" si="1"/>
        <v>11</v>
      </c>
      <c r="G10" s="22">
        <f t="shared" si="2"/>
        <v>11000</v>
      </c>
      <c r="H10" s="22">
        <f t="shared" si="13"/>
        <v>0</v>
      </c>
      <c r="I10" s="22">
        <f t="shared" si="14"/>
        <v>3</v>
      </c>
      <c r="J10" s="22">
        <f t="shared" si="3"/>
        <v>0</v>
      </c>
      <c r="K10" s="22">
        <f t="shared" si="4"/>
        <v>0</v>
      </c>
      <c r="L10" s="22">
        <f t="shared" si="5"/>
        <v>35200</v>
      </c>
      <c r="M10" s="22">
        <f t="shared" si="6"/>
        <v>0</v>
      </c>
      <c r="N10" s="22">
        <f t="shared" si="7"/>
        <v>0</v>
      </c>
      <c r="O10" s="22">
        <f t="shared" si="8"/>
        <v>0</v>
      </c>
      <c r="P10" s="22">
        <f t="shared" si="9"/>
        <v>2700</v>
      </c>
      <c r="Q10" s="22">
        <f t="shared" si="10"/>
        <v>37900</v>
      </c>
      <c r="R10" s="22"/>
      <c r="S10" s="22"/>
      <c r="T10" s="22"/>
      <c r="U10" s="22"/>
      <c r="V10" s="22"/>
      <c r="W10" s="22"/>
      <c r="X10" s="22"/>
      <c r="Y10" s="22"/>
      <c r="Z10" s="22"/>
      <c r="AA10" s="22"/>
      <c r="AB10" s="22"/>
      <c r="AC10" s="22"/>
      <c r="AD10" s="22"/>
    </row>
    <row r="11" spans="1:30" x14ac:dyDescent="0.25">
      <c r="A11" s="4" t="s">
        <v>100</v>
      </c>
      <c r="B11" s="15">
        <v>9000</v>
      </c>
      <c r="C11" s="22">
        <f t="shared" si="11"/>
        <v>0</v>
      </c>
      <c r="D11" s="22">
        <f t="shared" si="12"/>
        <v>0</v>
      </c>
      <c r="E11" s="22">
        <f t="shared" si="0"/>
        <v>9000</v>
      </c>
      <c r="F11" s="22">
        <f t="shared" si="1"/>
        <v>9</v>
      </c>
      <c r="G11" s="22">
        <f t="shared" si="2"/>
        <v>9000</v>
      </c>
      <c r="H11" s="22">
        <f t="shared" si="13"/>
        <v>0</v>
      </c>
      <c r="I11" s="22">
        <f t="shared" si="14"/>
        <v>2</v>
      </c>
      <c r="J11" s="22">
        <f t="shared" si="3"/>
        <v>0</v>
      </c>
      <c r="K11" s="22">
        <f t="shared" si="4"/>
        <v>0</v>
      </c>
      <c r="L11" s="22">
        <f t="shared" si="5"/>
        <v>28800</v>
      </c>
      <c r="M11" s="22">
        <f t="shared" si="6"/>
        <v>0</v>
      </c>
      <c r="N11" s="22">
        <f t="shared" si="7"/>
        <v>0</v>
      </c>
      <c r="O11" s="22">
        <f t="shared" si="8"/>
        <v>0</v>
      </c>
      <c r="P11" s="22">
        <f t="shared" si="9"/>
        <v>1800</v>
      </c>
      <c r="Q11" s="22">
        <f t="shared" si="10"/>
        <v>30600</v>
      </c>
      <c r="R11" s="22"/>
      <c r="S11" s="22"/>
      <c r="T11" s="22"/>
      <c r="U11" s="22"/>
      <c r="V11" s="22"/>
      <c r="W11" s="22"/>
      <c r="X11" s="22"/>
      <c r="Y11" s="22"/>
      <c r="Z11" s="22"/>
      <c r="AA11" s="22"/>
      <c r="AB11" s="22"/>
      <c r="AC11" s="22"/>
      <c r="AD11" s="22"/>
    </row>
    <row r="12" spans="1:30" x14ac:dyDescent="0.25">
      <c r="A12" s="4" t="s">
        <v>104</v>
      </c>
      <c r="B12" s="15">
        <v>7000</v>
      </c>
      <c r="C12" s="22">
        <f t="shared" si="11"/>
        <v>0</v>
      </c>
      <c r="D12" s="22">
        <f t="shared" si="12"/>
        <v>0</v>
      </c>
      <c r="E12" s="22">
        <f t="shared" si="0"/>
        <v>7000</v>
      </c>
      <c r="F12" s="22">
        <f t="shared" si="1"/>
        <v>7</v>
      </c>
      <c r="G12" s="22">
        <f t="shared" si="2"/>
        <v>7000</v>
      </c>
      <c r="H12" s="22">
        <f t="shared" si="13"/>
        <v>0</v>
      </c>
      <c r="I12" s="22">
        <f t="shared" si="14"/>
        <v>2</v>
      </c>
      <c r="J12" s="22">
        <f t="shared" si="3"/>
        <v>0</v>
      </c>
      <c r="K12" s="22">
        <f t="shared" si="4"/>
        <v>0</v>
      </c>
      <c r="L12" s="22">
        <f t="shared" si="5"/>
        <v>22400</v>
      </c>
      <c r="M12" s="22">
        <f t="shared" si="6"/>
        <v>0</v>
      </c>
      <c r="N12" s="22">
        <f t="shared" si="7"/>
        <v>0</v>
      </c>
      <c r="O12" s="22">
        <f t="shared" si="8"/>
        <v>0</v>
      </c>
      <c r="P12" s="22">
        <f t="shared" si="9"/>
        <v>1800</v>
      </c>
      <c r="Q12" s="22">
        <f t="shared" si="10"/>
        <v>24200</v>
      </c>
      <c r="R12" s="22"/>
      <c r="S12" s="22"/>
      <c r="T12" s="22"/>
      <c r="U12" s="22"/>
      <c r="V12" s="22"/>
      <c r="W12" s="22"/>
      <c r="X12" s="22"/>
      <c r="Y12" s="22"/>
      <c r="Z12" s="22"/>
      <c r="AA12" s="22"/>
      <c r="AB12" s="22"/>
      <c r="AC12" s="22"/>
      <c r="AD12" s="22"/>
    </row>
    <row r="13" spans="1:30" x14ac:dyDescent="0.25">
      <c r="A13" s="4" t="s">
        <v>107</v>
      </c>
      <c r="B13" s="15">
        <v>6000</v>
      </c>
      <c r="C13" s="22">
        <f t="shared" si="11"/>
        <v>0</v>
      </c>
      <c r="D13" s="22">
        <f t="shared" si="12"/>
        <v>0</v>
      </c>
      <c r="E13" s="22">
        <f t="shared" si="0"/>
        <v>6000</v>
      </c>
      <c r="F13" s="22">
        <f t="shared" si="1"/>
        <v>6</v>
      </c>
      <c r="G13" s="22">
        <f t="shared" si="2"/>
        <v>6000</v>
      </c>
      <c r="H13" s="22">
        <f t="shared" si="13"/>
        <v>0</v>
      </c>
      <c r="I13" s="22">
        <f t="shared" si="14"/>
        <v>1</v>
      </c>
      <c r="J13" s="22">
        <f t="shared" si="3"/>
        <v>0</v>
      </c>
      <c r="K13" s="22">
        <f t="shared" si="4"/>
        <v>0</v>
      </c>
      <c r="L13" s="22">
        <f t="shared" si="5"/>
        <v>19200</v>
      </c>
      <c r="M13" s="22">
        <f t="shared" si="6"/>
        <v>0</v>
      </c>
      <c r="N13" s="22">
        <f t="shared" si="7"/>
        <v>0</v>
      </c>
      <c r="O13" s="22">
        <f t="shared" si="8"/>
        <v>0</v>
      </c>
      <c r="P13" s="22">
        <f t="shared" si="9"/>
        <v>900</v>
      </c>
      <c r="Q13" s="22">
        <f t="shared" si="10"/>
        <v>20100</v>
      </c>
      <c r="R13" s="22"/>
      <c r="S13" s="22"/>
      <c r="T13" s="22"/>
      <c r="U13" s="22"/>
      <c r="V13" s="22"/>
      <c r="W13" s="22"/>
      <c r="X13" s="22"/>
      <c r="Y13" s="22"/>
      <c r="Z13" s="22"/>
      <c r="AA13" s="22"/>
      <c r="AB13" s="22"/>
      <c r="AC13" s="22"/>
      <c r="AD13" s="22"/>
    </row>
    <row r="14" spans="1:30" x14ac:dyDescent="0.25">
      <c r="A14" s="23" t="s">
        <v>140</v>
      </c>
      <c r="B14" s="24"/>
      <c r="C14" s="25"/>
      <c r="D14" s="25"/>
      <c r="E14" s="25">
        <f>SUM(E2:E13)</f>
        <v>123600</v>
      </c>
      <c r="F14" s="25"/>
      <c r="G14" s="25">
        <f>SUM(G2:G13)</f>
        <v>126000</v>
      </c>
      <c r="H14" s="25">
        <f>SUM(H2:H13)</f>
        <v>14</v>
      </c>
      <c r="I14" s="25">
        <f>SUM(I2:I13)</f>
        <v>16</v>
      </c>
      <c r="J14" s="25"/>
      <c r="K14" s="25"/>
      <c r="L14" s="25">
        <f t="shared" ref="L14:Q14" si="15">SUM(L2:L13)</f>
        <v>403200</v>
      </c>
      <c r="M14" s="25">
        <f t="shared" si="15"/>
        <v>0</v>
      </c>
      <c r="N14" s="25">
        <f t="shared" si="15"/>
        <v>0</v>
      </c>
      <c r="O14" s="25">
        <f t="shared" si="15"/>
        <v>8400</v>
      </c>
      <c r="P14" s="25">
        <f t="shared" si="15"/>
        <v>14400</v>
      </c>
      <c r="Q14" s="25">
        <f t="shared" si="15"/>
        <v>426000</v>
      </c>
      <c r="R14" s="25"/>
      <c r="S14" s="25"/>
      <c r="T14" s="25"/>
      <c r="U14" s="25"/>
      <c r="V14" s="25"/>
      <c r="W14" s="25"/>
      <c r="X14" s="25"/>
      <c r="Y14" s="25"/>
      <c r="Z14" s="25"/>
      <c r="AA14" s="25"/>
      <c r="AB14" s="25"/>
      <c r="AC14" s="25"/>
      <c r="AD14" s="25"/>
    </row>
    <row r="16" spans="1:30" ht="15.75" x14ac:dyDescent="0.25">
      <c r="A16" s="6" t="s">
        <v>141</v>
      </c>
    </row>
    <row r="17" spans="1:3" ht="30" customHeight="1" x14ac:dyDescent="0.25">
      <c r="A17" s="39" t="s">
        <v>142</v>
      </c>
      <c r="B17" s="40"/>
      <c r="C17" s="22">
        <f>BottlesPerHour*HoursPerDay*DaysPerMonth</f>
        <v>1000</v>
      </c>
    </row>
    <row r="18" spans="1:3" ht="30" customHeight="1" x14ac:dyDescent="0.25">
      <c r="A18" s="39" t="s">
        <v>143</v>
      </c>
      <c r="B18" s="40"/>
      <c r="C18" s="22">
        <f>EndTarget</f>
        <v>0</v>
      </c>
    </row>
    <row r="20" spans="1:3" x14ac:dyDescent="0.25">
      <c r="A20" s="3" t="s">
        <v>144</v>
      </c>
    </row>
    <row r="21" spans="1:3" x14ac:dyDescent="0.25">
      <c r="A21" s="2" t="s">
        <v>145</v>
      </c>
    </row>
  </sheetData>
  <sheetProtection sheet="1" formatCells="0" formatColumns="0" formatRows="0"/>
  <mergeCells count="2">
    <mergeCell ref="A18:B18"/>
    <mergeCell ref="A17:B17"/>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4"/>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61</v>
      </c>
      <c r="B1" s="20" t="s">
        <v>124</v>
      </c>
      <c r="C1" s="21" t="s">
        <v>146</v>
      </c>
      <c r="D1" s="21" t="s">
        <v>147</v>
      </c>
      <c r="E1" s="21" t="s">
        <v>148</v>
      </c>
      <c r="F1" s="21" t="s">
        <v>149</v>
      </c>
      <c r="G1" s="21" t="s">
        <v>150</v>
      </c>
      <c r="H1" s="21" t="s">
        <v>151</v>
      </c>
      <c r="I1" s="21" t="s">
        <v>152</v>
      </c>
      <c r="J1" s="21" t="s">
        <v>153</v>
      </c>
      <c r="K1" s="21" t="s">
        <v>154</v>
      </c>
      <c r="L1" s="21" t="s">
        <v>155</v>
      </c>
      <c r="M1" s="21" t="s">
        <v>156</v>
      </c>
      <c r="N1" s="21" t="s">
        <v>157</v>
      </c>
      <c r="O1" s="21" t="s">
        <v>158</v>
      </c>
      <c r="P1" s="21" t="s">
        <v>159</v>
      </c>
      <c r="Q1" s="21"/>
      <c r="R1" s="21"/>
      <c r="S1" s="21"/>
      <c r="T1" s="21"/>
      <c r="U1" s="21"/>
      <c r="V1" s="21"/>
      <c r="W1" s="21"/>
      <c r="X1" s="21"/>
      <c r="Y1" s="21"/>
      <c r="Z1" s="21"/>
      <c r="AA1" s="21"/>
      <c r="AB1" s="21"/>
      <c r="AC1" s="21"/>
      <c r="AD1" s="21"/>
    </row>
    <row r="2" spans="1:30" x14ac:dyDescent="0.25">
      <c r="A2" s="4" t="s">
        <v>67</v>
      </c>
      <c r="B2" s="15">
        <v>7000</v>
      </c>
      <c r="C2" s="22">
        <f>BeginInv</f>
        <v>2400</v>
      </c>
      <c r="D2" s="22">
        <f>0</f>
        <v>0</v>
      </c>
      <c r="E2" s="22">
        <f t="shared" ref="E2:E13" si="0">$C$20</f>
        <v>10300</v>
      </c>
      <c r="F2" s="22">
        <f t="shared" ref="F2:F13" si="1">$C$21</f>
        <v>11</v>
      </c>
      <c r="G2" s="22">
        <f>MAX(0,F2-StartWorkers)</f>
        <v>3</v>
      </c>
      <c r="H2" s="22">
        <f>MAX(0,StartWorkers-F2)</f>
        <v>0</v>
      </c>
      <c r="I2" s="22">
        <f t="shared" ref="I2:I13" si="2">MAX(0,C2+E2-D2-B2)</f>
        <v>5700</v>
      </c>
      <c r="J2" s="22">
        <f t="shared" ref="J2:J13" si="3">MAX(0,B2+D2-C2-E2)</f>
        <v>0</v>
      </c>
      <c r="K2" s="22">
        <f t="shared" ref="K2:K13" si="4">F2*LaborCost</f>
        <v>35200</v>
      </c>
      <c r="L2" s="22">
        <f t="shared" ref="L2:L13" si="5">G2*HireCost</f>
        <v>1800</v>
      </c>
      <c r="M2" s="22">
        <f t="shared" ref="M2:M13" si="6">H2*LayoffCost</f>
        <v>0</v>
      </c>
      <c r="N2" s="22">
        <f t="shared" ref="N2:N13" si="7">I2*HoldCost</f>
        <v>1425</v>
      </c>
      <c r="O2" s="22">
        <f t="shared" ref="O2:O13" si="8">J2*BackorderCost</f>
        <v>0</v>
      </c>
      <c r="P2" s="22">
        <f t="shared" ref="P2:P13" si="9">K2+L2+M2+N2+O2</f>
        <v>38425</v>
      </c>
      <c r="Q2" s="22"/>
      <c r="R2" s="22"/>
      <c r="S2" s="22"/>
      <c r="T2" s="22"/>
      <c r="U2" s="22"/>
      <c r="V2" s="22"/>
      <c r="W2" s="22"/>
      <c r="X2" s="22"/>
      <c r="Y2" s="22"/>
      <c r="Z2" s="22"/>
      <c r="AA2" s="22"/>
      <c r="AB2" s="22"/>
      <c r="AC2" s="22"/>
      <c r="AD2" s="22"/>
    </row>
    <row r="3" spans="1:30" x14ac:dyDescent="0.25">
      <c r="A3" s="4" t="s">
        <v>71</v>
      </c>
      <c r="B3" s="15">
        <v>6000</v>
      </c>
      <c r="C3" s="22">
        <f t="shared" ref="C3:C13" si="10">I2</f>
        <v>5700</v>
      </c>
      <c r="D3" s="22">
        <f t="shared" ref="D3:D13" si="11">J2</f>
        <v>0</v>
      </c>
      <c r="E3" s="22">
        <f t="shared" si="0"/>
        <v>10300</v>
      </c>
      <c r="F3" s="22">
        <f t="shared" si="1"/>
        <v>11</v>
      </c>
      <c r="G3" s="22">
        <f t="shared" ref="G3:G13" si="12">MAX(0,F3-F2)</f>
        <v>0</v>
      </c>
      <c r="H3" s="22">
        <f t="shared" ref="H3:H13" si="13">MAX(0,F2-F3)</f>
        <v>0</v>
      </c>
      <c r="I3" s="22">
        <f t="shared" si="2"/>
        <v>10000</v>
      </c>
      <c r="J3" s="22">
        <f t="shared" si="3"/>
        <v>0</v>
      </c>
      <c r="K3" s="22">
        <f t="shared" si="4"/>
        <v>35200</v>
      </c>
      <c r="L3" s="22">
        <f t="shared" si="5"/>
        <v>0</v>
      </c>
      <c r="M3" s="22">
        <f t="shared" si="6"/>
        <v>0</v>
      </c>
      <c r="N3" s="22">
        <f t="shared" si="7"/>
        <v>2500</v>
      </c>
      <c r="O3" s="22">
        <f t="shared" si="8"/>
        <v>0</v>
      </c>
      <c r="P3" s="22">
        <f t="shared" si="9"/>
        <v>37700</v>
      </c>
      <c r="Q3" s="22"/>
      <c r="R3" s="22"/>
      <c r="S3" s="22"/>
      <c r="T3" s="22"/>
      <c r="U3" s="22"/>
      <c r="V3" s="22"/>
      <c r="W3" s="22"/>
      <c r="X3" s="22"/>
      <c r="Y3" s="22"/>
      <c r="Z3" s="22"/>
      <c r="AA3" s="22"/>
      <c r="AB3" s="22"/>
      <c r="AC3" s="22"/>
      <c r="AD3" s="22"/>
    </row>
    <row r="4" spans="1:30" x14ac:dyDescent="0.25">
      <c r="A4" s="4" t="s">
        <v>74</v>
      </c>
      <c r="B4" s="15">
        <v>7000</v>
      </c>
      <c r="C4" s="22">
        <f t="shared" si="10"/>
        <v>10000</v>
      </c>
      <c r="D4" s="22">
        <f t="shared" si="11"/>
        <v>0</v>
      </c>
      <c r="E4" s="22">
        <f t="shared" si="0"/>
        <v>10300</v>
      </c>
      <c r="F4" s="22">
        <f t="shared" si="1"/>
        <v>11</v>
      </c>
      <c r="G4" s="22">
        <f t="shared" si="12"/>
        <v>0</v>
      </c>
      <c r="H4" s="22">
        <f t="shared" si="13"/>
        <v>0</v>
      </c>
      <c r="I4" s="22">
        <f t="shared" si="2"/>
        <v>13300</v>
      </c>
      <c r="J4" s="22">
        <f t="shared" si="3"/>
        <v>0</v>
      </c>
      <c r="K4" s="22">
        <f t="shared" si="4"/>
        <v>35200</v>
      </c>
      <c r="L4" s="22">
        <f t="shared" si="5"/>
        <v>0</v>
      </c>
      <c r="M4" s="22">
        <f t="shared" si="6"/>
        <v>0</v>
      </c>
      <c r="N4" s="22">
        <f t="shared" si="7"/>
        <v>3325</v>
      </c>
      <c r="O4" s="22">
        <f t="shared" si="8"/>
        <v>0</v>
      </c>
      <c r="P4" s="22">
        <f t="shared" si="9"/>
        <v>38525</v>
      </c>
      <c r="Q4" s="22"/>
      <c r="R4" s="22"/>
      <c r="S4" s="22"/>
      <c r="T4" s="22"/>
      <c r="U4" s="22"/>
      <c r="V4" s="22"/>
      <c r="W4" s="22"/>
      <c r="X4" s="22"/>
      <c r="Y4" s="22"/>
      <c r="Z4" s="22"/>
      <c r="AA4" s="22"/>
      <c r="AB4" s="22"/>
      <c r="AC4" s="22"/>
      <c r="AD4" s="22"/>
    </row>
    <row r="5" spans="1:30" x14ac:dyDescent="0.25">
      <c r="A5" s="4" t="s">
        <v>77</v>
      </c>
      <c r="B5" s="15">
        <v>11500</v>
      </c>
      <c r="C5" s="22">
        <f t="shared" si="10"/>
        <v>13300</v>
      </c>
      <c r="D5" s="22">
        <f t="shared" si="11"/>
        <v>0</v>
      </c>
      <c r="E5" s="22">
        <f t="shared" si="0"/>
        <v>10300</v>
      </c>
      <c r="F5" s="22">
        <f t="shared" si="1"/>
        <v>11</v>
      </c>
      <c r="G5" s="22">
        <f t="shared" si="12"/>
        <v>0</v>
      </c>
      <c r="H5" s="22">
        <f t="shared" si="13"/>
        <v>0</v>
      </c>
      <c r="I5" s="22">
        <f t="shared" si="2"/>
        <v>12100</v>
      </c>
      <c r="J5" s="22">
        <f t="shared" si="3"/>
        <v>0</v>
      </c>
      <c r="K5" s="22">
        <f t="shared" si="4"/>
        <v>35200</v>
      </c>
      <c r="L5" s="22">
        <f t="shared" si="5"/>
        <v>0</v>
      </c>
      <c r="M5" s="22">
        <f t="shared" si="6"/>
        <v>0</v>
      </c>
      <c r="N5" s="22">
        <f t="shared" si="7"/>
        <v>3025</v>
      </c>
      <c r="O5" s="22">
        <f t="shared" si="8"/>
        <v>0</v>
      </c>
      <c r="P5" s="22">
        <f t="shared" si="9"/>
        <v>38225</v>
      </c>
      <c r="Q5" s="22"/>
      <c r="R5" s="22"/>
      <c r="S5" s="22"/>
      <c r="T5" s="22"/>
      <c r="U5" s="22"/>
      <c r="V5" s="22"/>
      <c r="W5" s="22"/>
      <c r="X5" s="22"/>
      <c r="Y5" s="22"/>
      <c r="Z5" s="22"/>
      <c r="AA5" s="22"/>
      <c r="AB5" s="22"/>
      <c r="AC5" s="22"/>
      <c r="AD5" s="22"/>
    </row>
    <row r="6" spans="1:30" x14ac:dyDescent="0.25">
      <c r="A6" s="4" t="s">
        <v>80</v>
      </c>
      <c r="B6" s="15">
        <v>13000</v>
      </c>
      <c r="C6" s="22">
        <f t="shared" si="10"/>
        <v>12100</v>
      </c>
      <c r="D6" s="22">
        <f t="shared" si="11"/>
        <v>0</v>
      </c>
      <c r="E6" s="22">
        <f t="shared" si="0"/>
        <v>10300</v>
      </c>
      <c r="F6" s="22">
        <f t="shared" si="1"/>
        <v>11</v>
      </c>
      <c r="G6" s="22">
        <f t="shared" si="12"/>
        <v>0</v>
      </c>
      <c r="H6" s="22">
        <f t="shared" si="13"/>
        <v>0</v>
      </c>
      <c r="I6" s="22">
        <f t="shared" si="2"/>
        <v>9400</v>
      </c>
      <c r="J6" s="22">
        <f t="shared" si="3"/>
        <v>0</v>
      </c>
      <c r="K6" s="22">
        <f t="shared" si="4"/>
        <v>35200</v>
      </c>
      <c r="L6" s="22">
        <f t="shared" si="5"/>
        <v>0</v>
      </c>
      <c r="M6" s="22">
        <f t="shared" si="6"/>
        <v>0</v>
      </c>
      <c r="N6" s="22">
        <f t="shared" si="7"/>
        <v>2350</v>
      </c>
      <c r="O6" s="22">
        <f t="shared" si="8"/>
        <v>0</v>
      </c>
      <c r="P6" s="22">
        <f t="shared" si="9"/>
        <v>37550</v>
      </c>
      <c r="Q6" s="22"/>
      <c r="R6" s="22"/>
      <c r="S6" s="22"/>
      <c r="T6" s="22"/>
      <c r="U6" s="22"/>
      <c r="V6" s="22"/>
      <c r="W6" s="22"/>
      <c r="X6" s="22"/>
      <c r="Y6" s="22"/>
      <c r="Z6" s="22"/>
      <c r="AA6" s="22"/>
      <c r="AB6" s="22"/>
      <c r="AC6" s="22"/>
      <c r="AD6" s="22"/>
    </row>
    <row r="7" spans="1:30" x14ac:dyDescent="0.25">
      <c r="A7" s="4" t="s">
        <v>84</v>
      </c>
      <c r="B7" s="15">
        <v>16500</v>
      </c>
      <c r="C7" s="22">
        <f t="shared" si="10"/>
        <v>9400</v>
      </c>
      <c r="D7" s="22">
        <f t="shared" si="11"/>
        <v>0</v>
      </c>
      <c r="E7" s="22">
        <f t="shared" si="0"/>
        <v>10300</v>
      </c>
      <c r="F7" s="22">
        <f t="shared" si="1"/>
        <v>11</v>
      </c>
      <c r="G7" s="22">
        <f t="shared" si="12"/>
        <v>0</v>
      </c>
      <c r="H7" s="22">
        <f t="shared" si="13"/>
        <v>0</v>
      </c>
      <c r="I7" s="22">
        <f t="shared" si="2"/>
        <v>3200</v>
      </c>
      <c r="J7" s="22">
        <f t="shared" si="3"/>
        <v>0</v>
      </c>
      <c r="K7" s="22">
        <f t="shared" si="4"/>
        <v>35200</v>
      </c>
      <c r="L7" s="22">
        <f t="shared" si="5"/>
        <v>0</v>
      </c>
      <c r="M7" s="22">
        <f t="shared" si="6"/>
        <v>0</v>
      </c>
      <c r="N7" s="22">
        <f t="shared" si="7"/>
        <v>800</v>
      </c>
      <c r="O7" s="22">
        <f t="shared" si="8"/>
        <v>0</v>
      </c>
      <c r="P7" s="22">
        <f t="shared" si="9"/>
        <v>36000</v>
      </c>
      <c r="Q7" s="22"/>
      <c r="R7" s="22"/>
      <c r="S7" s="22"/>
      <c r="T7" s="22"/>
      <c r="U7" s="22"/>
      <c r="V7" s="22"/>
      <c r="W7" s="22"/>
      <c r="X7" s="22"/>
      <c r="Y7" s="22"/>
      <c r="Z7" s="22"/>
      <c r="AA7" s="22"/>
      <c r="AB7" s="22"/>
      <c r="AC7" s="22"/>
      <c r="AD7" s="22"/>
    </row>
    <row r="8" spans="1:30" x14ac:dyDescent="0.25">
      <c r="A8" s="4" t="s">
        <v>88</v>
      </c>
      <c r="B8" s="15">
        <v>18500</v>
      </c>
      <c r="C8" s="22">
        <f t="shared" si="10"/>
        <v>3200</v>
      </c>
      <c r="D8" s="22">
        <f t="shared" si="11"/>
        <v>0</v>
      </c>
      <c r="E8" s="22">
        <f t="shared" si="0"/>
        <v>10300</v>
      </c>
      <c r="F8" s="22">
        <f t="shared" si="1"/>
        <v>11</v>
      </c>
      <c r="G8" s="22">
        <f t="shared" si="12"/>
        <v>0</v>
      </c>
      <c r="H8" s="22">
        <f t="shared" si="13"/>
        <v>0</v>
      </c>
      <c r="I8" s="22">
        <f t="shared" si="2"/>
        <v>0</v>
      </c>
      <c r="J8" s="22">
        <f t="shared" si="3"/>
        <v>5000</v>
      </c>
      <c r="K8" s="22">
        <f t="shared" si="4"/>
        <v>35200</v>
      </c>
      <c r="L8" s="22">
        <f t="shared" si="5"/>
        <v>0</v>
      </c>
      <c r="M8" s="22">
        <f t="shared" si="6"/>
        <v>0</v>
      </c>
      <c r="N8" s="22">
        <f t="shared" si="7"/>
        <v>0</v>
      </c>
      <c r="O8" s="22">
        <f t="shared" si="8"/>
        <v>7500</v>
      </c>
      <c r="P8" s="22">
        <f t="shared" si="9"/>
        <v>42700</v>
      </c>
      <c r="Q8" s="22"/>
      <c r="R8" s="22"/>
      <c r="S8" s="22"/>
      <c r="T8" s="22"/>
      <c r="U8" s="22"/>
      <c r="V8" s="22"/>
      <c r="W8" s="22"/>
      <c r="X8" s="22"/>
      <c r="Y8" s="22"/>
      <c r="Z8" s="22"/>
      <c r="AA8" s="22"/>
      <c r="AB8" s="22"/>
      <c r="AC8" s="22"/>
      <c r="AD8" s="22"/>
    </row>
    <row r="9" spans="1:30" x14ac:dyDescent="0.25">
      <c r="A9" s="4" t="s">
        <v>92</v>
      </c>
      <c r="B9" s="15">
        <v>14000</v>
      </c>
      <c r="C9" s="22">
        <f t="shared" si="10"/>
        <v>0</v>
      </c>
      <c r="D9" s="22">
        <f t="shared" si="11"/>
        <v>5000</v>
      </c>
      <c r="E9" s="22">
        <f t="shared" si="0"/>
        <v>10300</v>
      </c>
      <c r="F9" s="22">
        <f t="shared" si="1"/>
        <v>11</v>
      </c>
      <c r="G9" s="22">
        <f t="shared" si="12"/>
        <v>0</v>
      </c>
      <c r="H9" s="22">
        <f t="shared" si="13"/>
        <v>0</v>
      </c>
      <c r="I9" s="22">
        <f t="shared" si="2"/>
        <v>0</v>
      </c>
      <c r="J9" s="22">
        <f t="shared" si="3"/>
        <v>8700</v>
      </c>
      <c r="K9" s="22">
        <f t="shared" si="4"/>
        <v>35200</v>
      </c>
      <c r="L9" s="22">
        <f t="shared" si="5"/>
        <v>0</v>
      </c>
      <c r="M9" s="22">
        <f t="shared" si="6"/>
        <v>0</v>
      </c>
      <c r="N9" s="22">
        <f t="shared" si="7"/>
        <v>0</v>
      </c>
      <c r="O9" s="22">
        <f t="shared" si="8"/>
        <v>13050</v>
      </c>
      <c r="P9" s="22">
        <f t="shared" si="9"/>
        <v>48250</v>
      </c>
      <c r="Q9" s="22"/>
      <c r="R9" s="22"/>
      <c r="S9" s="22"/>
      <c r="T9" s="22"/>
      <c r="U9" s="22"/>
      <c r="V9" s="22"/>
      <c r="W9" s="22"/>
      <c r="X9" s="22"/>
      <c r="Y9" s="22"/>
      <c r="Z9" s="22"/>
      <c r="AA9" s="22"/>
      <c r="AB9" s="22"/>
      <c r="AC9" s="22"/>
      <c r="AD9" s="22"/>
    </row>
    <row r="10" spans="1:30" x14ac:dyDescent="0.25">
      <c r="A10" s="4" t="s">
        <v>96</v>
      </c>
      <c r="B10" s="15">
        <v>10500</v>
      </c>
      <c r="C10" s="22">
        <f t="shared" si="10"/>
        <v>0</v>
      </c>
      <c r="D10" s="22">
        <f t="shared" si="11"/>
        <v>8700</v>
      </c>
      <c r="E10" s="22">
        <f t="shared" si="0"/>
        <v>10300</v>
      </c>
      <c r="F10" s="22">
        <f t="shared" si="1"/>
        <v>11</v>
      </c>
      <c r="G10" s="22">
        <f t="shared" si="12"/>
        <v>0</v>
      </c>
      <c r="H10" s="22">
        <f t="shared" si="13"/>
        <v>0</v>
      </c>
      <c r="I10" s="22">
        <f t="shared" si="2"/>
        <v>0</v>
      </c>
      <c r="J10" s="22">
        <f t="shared" si="3"/>
        <v>8900</v>
      </c>
      <c r="K10" s="22">
        <f t="shared" si="4"/>
        <v>35200</v>
      </c>
      <c r="L10" s="22">
        <f t="shared" si="5"/>
        <v>0</v>
      </c>
      <c r="M10" s="22">
        <f t="shared" si="6"/>
        <v>0</v>
      </c>
      <c r="N10" s="22">
        <f t="shared" si="7"/>
        <v>0</v>
      </c>
      <c r="O10" s="22">
        <f t="shared" si="8"/>
        <v>13350</v>
      </c>
      <c r="P10" s="22">
        <f t="shared" si="9"/>
        <v>48550</v>
      </c>
      <c r="Q10" s="22"/>
      <c r="R10" s="22"/>
      <c r="S10" s="22"/>
      <c r="T10" s="22"/>
      <c r="U10" s="22"/>
      <c r="V10" s="22"/>
      <c r="W10" s="22"/>
      <c r="X10" s="22"/>
      <c r="Y10" s="22"/>
      <c r="Z10" s="22"/>
      <c r="AA10" s="22"/>
      <c r="AB10" s="22"/>
      <c r="AC10" s="22"/>
      <c r="AD10" s="22"/>
    </row>
    <row r="11" spans="1:30" x14ac:dyDescent="0.25">
      <c r="A11" s="4" t="s">
        <v>100</v>
      </c>
      <c r="B11" s="15">
        <v>9000</v>
      </c>
      <c r="C11" s="22">
        <f t="shared" si="10"/>
        <v>0</v>
      </c>
      <c r="D11" s="22">
        <f t="shared" si="11"/>
        <v>8900</v>
      </c>
      <c r="E11" s="22">
        <f t="shared" si="0"/>
        <v>10300</v>
      </c>
      <c r="F11" s="22">
        <f t="shared" si="1"/>
        <v>11</v>
      </c>
      <c r="G11" s="22">
        <f t="shared" si="12"/>
        <v>0</v>
      </c>
      <c r="H11" s="22">
        <f t="shared" si="13"/>
        <v>0</v>
      </c>
      <c r="I11" s="22">
        <f t="shared" si="2"/>
        <v>0</v>
      </c>
      <c r="J11" s="22">
        <f t="shared" si="3"/>
        <v>7600</v>
      </c>
      <c r="K11" s="22">
        <f t="shared" si="4"/>
        <v>35200</v>
      </c>
      <c r="L11" s="22">
        <f t="shared" si="5"/>
        <v>0</v>
      </c>
      <c r="M11" s="22">
        <f t="shared" si="6"/>
        <v>0</v>
      </c>
      <c r="N11" s="22">
        <f t="shared" si="7"/>
        <v>0</v>
      </c>
      <c r="O11" s="22">
        <f t="shared" si="8"/>
        <v>11400</v>
      </c>
      <c r="P11" s="22">
        <f t="shared" si="9"/>
        <v>46600</v>
      </c>
      <c r="Q11" s="22"/>
      <c r="R11" s="22"/>
      <c r="S11" s="22"/>
      <c r="T11" s="22"/>
      <c r="U11" s="22"/>
      <c r="V11" s="22"/>
      <c r="W11" s="22"/>
      <c r="X11" s="22"/>
      <c r="Y11" s="22"/>
      <c r="Z11" s="22"/>
      <c r="AA11" s="22"/>
      <c r="AB11" s="22"/>
      <c r="AC11" s="22"/>
      <c r="AD11" s="22"/>
    </row>
    <row r="12" spans="1:30" x14ac:dyDescent="0.25">
      <c r="A12" s="4" t="s">
        <v>104</v>
      </c>
      <c r="B12" s="15">
        <v>7000</v>
      </c>
      <c r="C12" s="22">
        <f t="shared" si="10"/>
        <v>0</v>
      </c>
      <c r="D12" s="22">
        <f t="shared" si="11"/>
        <v>7600</v>
      </c>
      <c r="E12" s="22">
        <f t="shared" si="0"/>
        <v>10300</v>
      </c>
      <c r="F12" s="22">
        <f t="shared" si="1"/>
        <v>11</v>
      </c>
      <c r="G12" s="22">
        <f t="shared" si="12"/>
        <v>0</v>
      </c>
      <c r="H12" s="22">
        <f t="shared" si="13"/>
        <v>0</v>
      </c>
      <c r="I12" s="22">
        <f t="shared" si="2"/>
        <v>0</v>
      </c>
      <c r="J12" s="22">
        <f t="shared" si="3"/>
        <v>4300</v>
      </c>
      <c r="K12" s="22">
        <f t="shared" si="4"/>
        <v>35200</v>
      </c>
      <c r="L12" s="22">
        <f t="shared" si="5"/>
        <v>0</v>
      </c>
      <c r="M12" s="22">
        <f t="shared" si="6"/>
        <v>0</v>
      </c>
      <c r="N12" s="22">
        <f t="shared" si="7"/>
        <v>0</v>
      </c>
      <c r="O12" s="22">
        <f t="shared" si="8"/>
        <v>6450</v>
      </c>
      <c r="P12" s="22">
        <f t="shared" si="9"/>
        <v>41650</v>
      </c>
      <c r="Q12" s="22"/>
      <c r="R12" s="22"/>
      <c r="S12" s="22"/>
      <c r="T12" s="22"/>
      <c r="U12" s="22"/>
      <c r="V12" s="22"/>
      <c r="W12" s="22"/>
      <c r="X12" s="22"/>
      <c r="Y12" s="22"/>
      <c r="Z12" s="22"/>
      <c r="AA12" s="22"/>
      <c r="AB12" s="22"/>
      <c r="AC12" s="22"/>
      <c r="AD12" s="22"/>
    </row>
    <row r="13" spans="1:30" x14ac:dyDescent="0.25">
      <c r="A13" s="4" t="s">
        <v>107</v>
      </c>
      <c r="B13" s="15">
        <v>6000</v>
      </c>
      <c r="C13" s="22">
        <f t="shared" si="10"/>
        <v>0</v>
      </c>
      <c r="D13" s="22">
        <f t="shared" si="11"/>
        <v>4300</v>
      </c>
      <c r="E13" s="22">
        <f t="shared" si="0"/>
        <v>10300</v>
      </c>
      <c r="F13" s="22">
        <f t="shared" si="1"/>
        <v>11</v>
      </c>
      <c r="G13" s="22">
        <f t="shared" si="12"/>
        <v>0</v>
      </c>
      <c r="H13" s="22">
        <f t="shared" si="13"/>
        <v>0</v>
      </c>
      <c r="I13" s="22">
        <f t="shared" si="2"/>
        <v>0</v>
      </c>
      <c r="J13" s="22">
        <f t="shared" si="3"/>
        <v>0</v>
      </c>
      <c r="K13" s="22">
        <f t="shared" si="4"/>
        <v>35200</v>
      </c>
      <c r="L13" s="22">
        <f t="shared" si="5"/>
        <v>0</v>
      </c>
      <c r="M13" s="22">
        <f t="shared" si="6"/>
        <v>0</v>
      </c>
      <c r="N13" s="22">
        <f t="shared" si="7"/>
        <v>0</v>
      </c>
      <c r="O13" s="22">
        <f t="shared" si="8"/>
        <v>0</v>
      </c>
      <c r="P13" s="22">
        <f t="shared" si="9"/>
        <v>35200</v>
      </c>
      <c r="Q13" s="22"/>
      <c r="R13" s="22"/>
      <c r="S13" s="22"/>
      <c r="T13" s="22"/>
      <c r="U13" s="22"/>
      <c r="V13" s="22"/>
      <c r="W13" s="22"/>
      <c r="X13" s="22"/>
      <c r="Y13" s="22"/>
      <c r="Z13" s="22"/>
      <c r="AA13" s="22"/>
      <c r="AB13" s="22"/>
      <c r="AC13" s="22"/>
      <c r="AD13" s="22"/>
    </row>
    <row r="14" spans="1:30" x14ac:dyDescent="0.25">
      <c r="A14" s="23" t="s">
        <v>140</v>
      </c>
      <c r="B14" s="24"/>
      <c r="C14" s="25"/>
      <c r="D14" s="25"/>
      <c r="E14" s="25">
        <f>SUM(E2:E13)</f>
        <v>123600</v>
      </c>
      <c r="F14" s="25"/>
      <c r="G14" s="25">
        <f>SUM(G2:G13)</f>
        <v>3</v>
      </c>
      <c r="H14" s="25">
        <f>SUM(H2:H13)</f>
        <v>0</v>
      </c>
      <c r="I14" s="25"/>
      <c r="J14" s="25"/>
      <c r="K14" s="25">
        <f t="shared" ref="K14:P14" si="14">SUM(K2:K13)</f>
        <v>422400</v>
      </c>
      <c r="L14" s="25">
        <f t="shared" si="14"/>
        <v>1800</v>
      </c>
      <c r="M14" s="25">
        <f t="shared" si="14"/>
        <v>0</v>
      </c>
      <c r="N14" s="25">
        <f t="shared" si="14"/>
        <v>13425</v>
      </c>
      <c r="O14" s="25">
        <f t="shared" si="14"/>
        <v>51750</v>
      </c>
      <c r="P14" s="25">
        <f t="shared" si="14"/>
        <v>489375</v>
      </c>
      <c r="Q14" s="25"/>
      <c r="R14" s="25"/>
      <c r="S14" s="25"/>
      <c r="T14" s="25"/>
      <c r="U14" s="25"/>
      <c r="V14" s="25"/>
      <c r="W14" s="25"/>
      <c r="X14" s="25"/>
      <c r="Y14" s="25"/>
      <c r="Z14" s="25"/>
      <c r="AA14" s="25"/>
      <c r="AB14" s="25"/>
      <c r="AC14" s="25"/>
      <c r="AD14" s="25"/>
    </row>
    <row r="16" spans="1:30" ht="15.75" x14ac:dyDescent="0.25">
      <c r="A16" s="6" t="s">
        <v>141</v>
      </c>
    </row>
    <row r="17" spans="1:3" ht="30" customHeight="1" x14ac:dyDescent="0.25">
      <c r="A17" s="39" t="s">
        <v>142</v>
      </c>
      <c r="B17" s="40"/>
      <c r="C17" s="22">
        <f>BottlesPerHour*HoursPerDay*DaysPerMonth</f>
        <v>1000</v>
      </c>
    </row>
    <row r="18" spans="1:3" ht="30" customHeight="1" x14ac:dyDescent="0.25">
      <c r="A18" s="39" t="s">
        <v>160</v>
      </c>
      <c r="B18" s="40"/>
      <c r="C18" s="22">
        <f>EndTarget</f>
        <v>0</v>
      </c>
    </row>
    <row r="19" spans="1:3" ht="30" customHeight="1" x14ac:dyDescent="0.25">
      <c r="A19" s="39" t="s">
        <v>161</v>
      </c>
      <c r="B19" s="40"/>
      <c r="C19" s="22">
        <f>SUM(B2:B13)</f>
        <v>126000</v>
      </c>
    </row>
    <row r="20" spans="1:3" ht="30" customHeight="1" x14ac:dyDescent="0.25">
      <c r="A20" s="39" t="s">
        <v>162</v>
      </c>
      <c r="B20" s="40"/>
      <c r="C20" s="22">
        <f>(C19+C18-BeginInv)/12</f>
        <v>10300</v>
      </c>
    </row>
    <row r="21" spans="1:3" ht="30" customHeight="1" x14ac:dyDescent="0.25">
      <c r="A21" s="39" t="s">
        <v>163</v>
      </c>
      <c r="B21" s="40"/>
      <c r="C21" s="22">
        <f>ROUNDUP(C20/C17,0)</f>
        <v>11</v>
      </c>
    </row>
    <row r="23" spans="1:3" x14ac:dyDescent="0.25">
      <c r="A23" s="3" t="s">
        <v>164</v>
      </c>
    </row>
    <row r="24" spans="1:3" x14ac:dyDescent="0.25">
      <c r="A24" s="2" t="s">
        <v>145</v>
      </c>
    </row>
  </sheetData>
  <sheetProtection sheet="1" formatCells="0" formatColumns="0" formatRows="0"/>
  <mergeCells count="5">
    <mergeCell ref="A20:B20"/>
    <mergeCell ref="A21:B21"/>
    <mergeCell ref="A19:B19"/>
    <mergeCell ref="A17:B17"/>
    <mergeCell ref="A18:B18"/>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2"/>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61</v>
      </c>
      <c r="B1" s="20" t="s">
        <v>124</v>
      </c>
      <c r="C1" s="21" t="s">
        <v>146</v>
      </c>
      <c r="D1" s="21" t="s">
        <v>147</v>
      </c>
      <c r="E1" s="21" t="s">
        <v>149</v>
      </c>
      <c r="F1" s="21" t="s">
        <v>129</v>
      </c>
      <c r="G1" s="21" t="s">
        <v>165</v>
      </c>
      <c r="H1" s="21" t="s">
        <v>166</v>
      </c>
      <c r="I1" s="21" t="s">
        <v>167</v>
      </c>
      <c r="J1" s="21" t="s">
        <v>168</v>
      </c>
      <c r="K1" s="21" t="s">
        <v>150</v>
      </c>
      <c r="L1" s="21" t="s">
        <v>151</v>
      </c>
      <c r="M1" s="21" t="s">
        <v>152</v>
      </c>
      <c r="N1" s="21" t="s">
        <v>153</v>
      </c>
      <c r="O1" s="21" t="s">
        <v>154</v>
      </c>
      <c r="P1" s="21" t="s">
        <v>155</v>
      </c>
      <c r="Q1" s="21" t="s">
        <v>156</v>
      </c>
      <c r="R1" s="21" t="s">
        <v>169</v>
      </c>
      <c r="S1" s="21" t="s">
        <v>170</v>
      </c>
      <c r="T1" s="21" t="s">
        <v>157</v>
      </c>
      <c r="U1" s="21" t="s">
        <v>158</v>
      </c>
      <c r="V1" s="21" t="s">
        <v>159</v>
      </c>
      <c r="W1" s="21"/>
      <c r="X1" s="21"/>
      <c r="Y1" s="21"/>
      <c r="Z1" s="21"/>
      <c r="AA1" s="21"/>
      <c r="AB1" s="21"/>
      <c r="AC1" s="21"/>
      <c r="AD1" s="21"/>
    </row>
    <row r="2" spans="1:30" x14ac:dyDescent="0.25">
      <c r="A2" s="4" t="s">
        <v>67</v>
      </c>
      <c r="B2" s="15">
        <v>7000</v>
      </c>
      <c r="C2" s="22">
        <f>BeginInv</f>
        <v>2400</v>
      </c>
      <c r="D2" s="22">
        <f>0</f>
        <v>0</v>
      </c>
      <c r="E2" s="22">
        <v>11</v>
      </c>
      <c r="F2" s="22">
        <f t="shared" ref="F2:F13" si="0">E2*$C$17</f>
        <v>11000</v>
      </c>
      <c r="G2" s="22">
        <v>11000</v>
      </c>
      <c r="H2" s="22">
        <v>0</v>
      </c>
      <c r="I2" s="22">
        <v>0</v>
      </c>
      <c r="J2" s="22">
        <f t="shared" ref="J2:J13" si="1">G2+H2+I2</f>
        <v>11000</v>
      </c>
      <c r="K2" s="22">
        <f>MAX(0,E2-StartWorkers)</f>
        <v>3</v>
      </c>
      <c r="L2" s="22">
        <f>MAX(0,StartWorkers-E2)</f>
        <v>0</v>
      </c>
      <c r="M2" s="22">
        <f t="shared" ref="M2:M13" si="2">MAX(0,C2+J2-D2-B2)</f>
        <v>6400</v>
      </c>
      <c r="N2" s="22">
        <f t="shared" ref="N2:N13" si="3">MAX(0,B2+D2-C2-J2)</f>
        <v>0</v>
      </c>
      <c r="O2" s="22">
        <f t="shared" ref="O2:O13" si="4">E2*LaborCost</f>
        <v>35200</v>
      </c>
      <c r="P2" s="22">
        <f t="shared" ref="P2:P13" si="5">K2*HireCost</f>
        <v>1800</v>
      </c>
      <c r="Q2" s="22">
        <f t="shared" ref="Q2:Q13" si="6">L2*LayoffCost</f>
        <v>0</v>
      </c>
      <c r="R2" s="22">
        <f t="shared" ref="R2:R13" si="7">H2*OTCost</f>
        <v>0</v>
      </c>
      <c r="S2" s="22">
        <f t="shared" ref="S2:S13" si="8">I2*SubCost</f>
        <v>0</v>
      </c>
      <c r="T2" s="22">
        <f t="shared" ref="T2:T13" si="9">M2*HoldCost</f>
        <v>1600</v>
      </c>
      <c r="U2" s="22">
        <f t="shared" ref="U2:U13" si="10">N2*BackorderCost</f>
        <v>0</v>
      </c>
      <c r="V2" s="22">
        <f t="shared" ref="V2:V13" si="11">O2+P2+Q2+R2+S2+T2+U2</f>
        <v>38600</v>
      </c>
      <c r="W2" s="22"/>
      <c r="X2" s="22"/>
      <c r="Y2" s="22"/>
      <c r="Z2" s="22"/>
      <c r="AA2" s="22"/>
      <c r="AB2" s="22"/>
      <c r="AC2" s="22"/>
      <c r="AD2" s="22"/>
    </row>
    <row r="3" spans="1:30" x14ac:dyDescent="0.25">
      <c r="A3" s="4" t="s">
        <v>71</v>
      </c>
      <c r="B3" s="15">
        <v>6000</v>
      </c>
      <c r="C3" s="22">
        <f t="shared" ref="C3:C13" si="12">M2</f>
        <v>6400</v>
      </c>
      <c r="D3" s="22">
        <f t="shared" ref="D3:D13" si="13">N2</f>
        <v>0</v>
      </c>
      <c r="E3" s="22">
        <v>11</v>
      </c>
      <c r="F3" s="22">
        <f t="shared" si="0"/>
        <v>11000</v>
      </c>
      <c r="G3" s="22">
        <v>11000</v>
      </c>
      <c r="H3" s="22">
        <v>0</v>
      </c>
      <c r="I3" s="22">
        <v>0</v>
      </c>
      <c r="J3" s="22">
        <f t="shared" si="1"/>
        <v>11000</v>
      </c>
      <c r="K3" s="22">
        <f t="shared" ref="K3:K13" si="14">MAX(0,E3-E2)</f>
        <v>0</v>
      </c>
      <c r="L3" s="22">
        <f t="shared" ref="L3:L13" si="15">MAX(0,E2-E3)</f>
        <v>0</v>
      </c>
      <c r="M3" s="22">
        <f t="shared" si="2"/>
        <v>11400</v>
      </c>
      <c r="N3" s="22">
        <f t="shared" si="3"/>
        <v>0</v>
      </c>
      <c r="O3" s="22">
        <f t="shared" si="4"/>
        <v>35200</v>
      </c>
      <c r="P3" s="22">
        <f t="shared" si="5"/>
        <v>0</v>
      </c>
      <c r="Q3" s="22">
        <f t="shared" si="6"/>
        <v>0</v>
      </c>
      <c r="R3" s="22">
        <f t="shared" si="7"/>
        <v>0</v>
      </c>
      <c r="S3" s="22">
        <f t="shared" si="8"/>
        <v>0</v>
      </c>
      <c r="T3" s="22">
        <f t="shared" si="9"/>
        <v>2850</v>
      </c>
      <c r="U3" s="22">
        <f t="shared" si="10"/>
        <v>0</v>
      </c>
      <c r="V3" s="22">
        <f t="shared" si="11"/>
        <v>38050</v>
      </c>
      <c r="W3" s="22"/>
      <c r="X3" s="22"/>
      <c r="Y3" s="22"/>
      <c r="Z3" s="22"/>
      <c r="AA3" s="22"/>
      <c r="AB3" s="22"/>
      <c r="AC3" s="22"/>
      <c r="AD3" s="22"/>
    </row>
    <row r="4" spans="1:30" x14ac:dyDescent="0.25">
      <c r="A4" s="4" t="s">
        <v>74</v>
      </c>
      <c r="B4" s="15">
        <v>7000</v>
      </c>
      <c r="C4" s="22">
        <f t="shared" si="12"/>
        <v>11400</v>
      </c>
      <c r="D4" s="22">
        <f t="shared" si="13"/>
        <v>0</v>
      </c>
      <c r="E4" s="22">
        <v>11</v>
      </c>
      <c r="F4" s="22">
        <f t="shared" si="0"/>
        <v>11000</v>
      </c>
      <c r="G4" s="22">
        <v>11000</v>
      </c>
      <c r="H4" s="22">
        <v>0</v>
      </c>
      <c r="I4" s="22">
        <v>0</v>
      </c>
      <c r="J4" s="22">
        <f t="shared" si="1"/>
        <v>11000</v>
      </c>
      <c r="K4" s="22">
        <f t="shared" si="14"/>
        <v>0</v>
      </c>
      <c r="L4" s="22">
        <f t="shared" si="15"/>
        <v>0</v>
      </c>
      <c r="M4" s="22">
        <f t="shared" si="2"/>
        <v>15400</v>
      </c>
      <c r="N4" s="22">
        <f t="shared" si="3"/>
        <v>0</v>
      </c>
      <c r="O4" s="22">
        <f t="shared" si="4"/>
        <v>35200</v>
      </c>
      <c r="P4" s="22">
        <f t="shared" si="5"/>
        <v>0</v>
      </c>
      <c r="Q4" s="22">
        <f t="shared" si="6"/>
        <v>0</v>
      </c>
      <c r="R4" s="22">
        <f t="shared" si="7"/>
        <v>0</v>
      </c>
      <c r="S4" s="22">
        <f t="shared" si="8"/>
        <v>0</v>
      </c>
      <c r="T4" s="22">
        <f t="shared" si="9"/>
        <v>3850</v>
      </c>
      <c r="U4" s="22">
        <f t="shared" si="10"/>
        <v>0</v>
      </c>
      <c r="V4" s="22">
        <f t="shared" si="11"/>
        <v>39050</v>
      </c>
      <c r="W4" s="22"/>
      <c r="X4" s="22"/>
      <c r="Y4" s="22"/>
      <c r="Z4" s="22"/>
      <c r="AA4" s="22"/>
      <c r="AB4" s="22"/>
      <c r="AC4" s="22"/>
      <c r="AD4" s="22"/>
    </row>
    <row r="5" spans="1:30" x14ac:dyDescent="0.25">
      <c r="A5" s="4" t="s">
        <v>77</v>
      </c>
      <c r="B5" s="15">
        <v>11500</v>
      </c>
      <c r="C5" s="22">
        <f t="shared" si="12"/>
        <v>15400</v>
      </c>
      <c r="D5" s="22">
        <f t="shared" si="13"/>
        <v>0</v>
      </c>
      <c r="E5" s="22">
        <v>11</v>
      </c>
      <c r="F5" s="22">
        <f t="shared" si="0"/>
        <v>11000</v>
      </c>
      <c r="G5" s="22">
        <v>11000</v>
      </c>
      <c r="H5" s="22">
        <v>0</v>
      </c>
      <c r="I5" s="22">
        <v>0</v>
      </c>
      <c r="J5" s="22">
        <f t="shared" si="1"/>
        <v>11000</v>
      </c>
      <c r="K5" s="22">
        <f t="shared" si="14"/>
        <v>0</v>
      </c>
      <c r="L5" s="22">
        <f t="shared" si="15"/>
        <v>0</v>
      </c>
      <c r="M5" s="22">
        <f t="shared" si="2"/>
        <v>14900</v>
      </c>
      <c r="N5" s="22">
        <f t="shared" si="3"/>
        <v>0</v>
      </c>
      <c r="O5" s="22">
        <f t="shared" si="4"/>
        <v>35200</v>
      </c>
      <c r="P5" s="22">
        <f t="shared" si="5"/>
        <v>0</v>
      </c>
      <c r="Q5" s="22">
        <f t="shared" si="6"/>
        <v>0</v>
      </c>
      <c r="R5" s="22">
        <f t="shared" si="7"/>
        <v>0</v>
      </c>
      <c r="S5" s="22">
        <f t="shared" si="8"/>
        <v>0</v>
      </c>
      <c r="T5" s="22">
        <f t="shared" si="9"/>
        <v>3725</v>
      </c>
      <c r="U5" s="22">
        <f t="shared" si="10"/>
        <v>0</v>
      </c>
      <c r="V5" s="22">
        <f t="shared" si="11"/>
        <v>38925</v>
      </c>
      <c r="W5" s="22"/>
      <c r="X5" s="22"/>
      <c r="Y5" s="22"/>
      <c r="Z5" s="22"/>
      <c r="AA5" s="22"/>
      <c r="AB5" s="22"/>
      <c r="AC5" s="22"/>
      <c r="AD5" s="22"/>
    </row>
    <row r="6" spans="1:30" x14ac:dyDescent="0.25">
      <c r="A6" s="4" t="s">
        <v>80</v>
      </c>
      <c r="B6" s="15">
        <v>13000</v>
      </c>
      <c r="C6" s="22">
        <f t="shared" si="12"/>
        <v>14900</v>
      </c>
      <c r="D6" s="22">
        <f t="shared" si="13"/>
        <v>0</v>
      </c>
      <c r="E6" s="22">
        <v>11</v>
      </c>
      <c r="F6" s="22">
        <f t="shared" si="0"/>
        <v>11000</v>
      </c>
      <c r="G6" s="22">
        <v>11000</v>
      </c>
      <c r="H6" s="22">
        <v>0</v>
      </c>
      <c r="I6" s="22">
        <v>0</v>
      </c>
      <c r="J6" s="22">
        <f t="shared" si="1"/>
        <v>11000</v>
      </c>
      <c r="K6" s="22">
        <f t="shared" si="14"/>
        <v>0</v>
      </c>
      <c r="L6" s="22">
        <f t="shared" si="15"/>
        <v>0</v>
      </c>
      <c r="M6" s="22">
        <f t="shared" si="2"/>
        <v>12900</v>
      </c>
      <c r="N6" s="22">
        <f t="shared" si="3"/>
        <v>0</v>
      </c>
      <c r="O6" s="22">
        <f t="shared" si="4"/>
        <v>35200</v>
      </c>
      <c r="P6" s="22">
        <f t="shared" si="5"/>
        <v>0</v>
      </c>
      <c r="Q6" s="22">
        <f t="shared" si="6"/>
        <v>0</v>
      </c>
      <c r="R6" s="22">
        <f t="shared" si="7"/>
        <v>0</v>
      </c>
      <c r="S6" s="22">
        <f t="shared" si="8"/>
        <v>0</v>
      </c>
      <c r="T6" s="22">
        <f t="shared" si="9"/>
        <v>3225</v>
      </c>
      <c r="U6" s="22">
        <f t="shared" si="10"/>
        <v>0</v>
      </c>
      <c r="V6" s="22">
        <f t="shared" si="11"/>
        <v>38425</v>
      </c>
      <c r="W6" s="22"/>
      <c r="X6" s="22"/>
      <c r="Y6" s="22"/>
      <c r="Z6" s="22"/>
      <c r="AA6" s="22"/>
      <c r="AB6" s="22"/>
      <c r="AC6" s="22"/>
      <c r="AD6" s="22"/>
    </row>
    <row r="7" spans="1:30" x14ac:dyDescent="0.25">
      <c r="A7" s="4" t="s">
        <v>84</v>
      </c>
      <c r="B7" s="15">
        <v>16500</v>
      </c>
      <c r="C7" s="22">
        <f t="shared" si="12"/>
        <v>12900</v>
      </c>
      <c r="D7" s="22">
        <f t="shared" si="13"/>
        <v>0</v>
      </c>
      <c r="E7" s="22">
        <v>11</v>
      </c>
      <c r="F7" s="22">
        <f t="shared" si="0"/>
        <v>11000</v>
      </c>
      <c r="G7" s="22">
        <v>11000</v>
      </c>
      <c r="H7" s="22">
        <v>1000</v>
      </c>
      <c r="I7" s="22">
        <v>0</v>
      </c>
      <c r="J7" s="22">
        <f t="shared" si="1"/>
        <v>12000</v>
      </c>
      <c r="K7" s="22">
        <f t="shared" si="14"/>
        <v>0</v>
      </c>
      <c r="L7" s="22">
        <f t="shared" si="15"/>
        <v>0</v>
      </c>
      <c r="M7" s="22">
        <f t="shared" si="2"/>
        <v>8400</v>
      </c>
      <c r="N7" s="22">
        <f t="shared" si="3"/>
        <v>0</v>
      </c>
      <c r="O7" s="22">
        <f t="shared" si="4"/>
        <v>35200</v>
      </c>
      <c r="P7" s="22">
        <f t="shared" si="5"/>
        <v>0</v>
      </c>
      <c r="Q7" s="22">
        <f t="shared" si="6"/>
        <v>0</v>
      </c>
      <c r="R7" s="22">
        <f t="shared" si="7"/>
        <v>4500</v>
      </c>
      <c r="S7" s="22">
        <f t="shared" si="8"/>
        <v>0</v>
      </c>
      <c r="T7" s="22">
        <f t="shared" si="9"/>
        <v>2100</v>
      </c>
      <c r="U7" s="22">
        <f t="shared" si="10"/>
        <v>0</v>
      </c>
      <c r="V7" s="22">
        <f t="shared" si="11"/>
        <v>41800</v>
      </c>
      <c r="W7" s="22"/>
      <c r="X7" s="22"/>
      <c r="Y7" s="22"/>
      <c r="Z7" s="22"/>
      <c r="AA7" s="22"/>
      <c r="AB7" s="22"/>
      <c r="AC7" s="22"/>
      <c r="AD7" s="22"/>
    </row>
    <row r="8" spans="1:30" x14ac:dyDescent="0.25">
      <c r="A8" s="4" t="s">
        <v>88</v>
      </c>
      <c r="B8" s="15">
        <v>18500</v>
      </c>
      <c r="C8" s="22">
        <f t="shared" si="12"/>
        <v>8400</v>
      </c>
      <c r="D8" s="22">
        <f t="shared" si="13"/>
        <v>0</v>
      </c>
      <c r="E8" s="22">
        <v>11</v>
      </c>
      <c r="F8" s="22">
        <f t="shared" si="0"/>
        <v>11000</v>
      </c>
      <c r="G8" s="22">
        <v>11000</v>
      </c>
      <c r="H8" s="22">
        <v>2000</v>
      </c>
      <c r="I8" s="22">
        <v>0</v>
      </c>
      <c r="J8" s="22">
        <f t="shared" si="1"/>
        <v>13000</v>
      </c>
      <c r="K8" s="22">
        <f t="shared" si="14"/>
        <v>0</v>
      </c>
      <c r="L8" s="22">
        <f t="shared" si="15"/>
        <v>0</v>
      </c>
      <c r="M8" s="22">
        <f t="shared" si="2"/>
        <v>2900</v>
      </c>
      <c r="N8" s="22">
        <f t="shared" si="3"/>
        <v>0</v>
      </c>
      <c r="O8" s="22">
        <f t="shared" si="4"/>
        <v>35200</v>
      </c>
      <c r="P8" s="22">
        <f t="shared" si="5"/>
        <v>0</v>
      </c>
      <c r="Q8" s="22">
        <f t="shared" si="6"/>
        <v>0</v>
      </c>
      <c r="R8" s="22">
        <f t="shared" si="7"/>
        <v>9000</v>
      </c>
      <c r="S8" s="22">
        <f t="shared" si="8"/>
        <v>0</v>
      </c>
      <c r="T8" s="22">
        <f t="shared" si="9"/>
        <v>725</v>
      </c>
      <c r="U8" s="22">
        <f t="shared" si="10"/>
        <v>0</v>
      </c>
      <c r="V8" s="22">
        <f t="shared" si="11"/>
        <v>44925</v>
      </c>
      <c r="W8" s="22"/>
      <c r="X8" s="22"/>
      <c r="Y8" s="22"/>
      <c r="Z8" s="22"/>
      <c r="AA8" s="22"/>
      <c r="AB8" s="22"/>
      <c r="AC8" s="22"/>
      <c r="AD8" s="22"/>
    </row>
    <row r="9" spans="1:30" x14ac:dyDescent="0.25">
      <c r="A9" s="4" t="s">
        <v>92</v>
      </c>
      <c r="B9" s="15">
        <v>14000</v>
      </c>
      <c r="C9" s="22">
        <f t="shared" si="12"/>
        <v>2900</v>
      </c>
      <c r="D9" s="22">
        <f t="shared" si="13"/>
        <v>0</v>
      </c>
      <c r="E9" s="22">
        <v>11</v>
      </c>
      <c r="F9" s="22">
        <f t="shared" si="0"/>
        <v>11000</v>
      </c>
      <c r="G9" s="22">
        <v>11000</v>
      </c>
      <c r="H9" s="22">
        <v>0</v>
      </c>
      <c r="I9" s="22">
        <v>0</v>
      </c>
      <c r="J9" s="22">
        <f t="shared" si="1"/>
        <v>11000</v>
      </c>
      <c r="K9" s="22">
        <f t="shared" si="14"/>
        <v>0</v>
      </c>
      <c r="L9" s="22">
        <f t="shared" si="15"/>
        <v>0</v>
      </c>
      <c r="M9" s="22">
        <f t="shared" si="2"/>
        <v>0</v>
      </c>
      <c r="N9" s="22">
        <f t="shared" si="3"/>
        <v>100</v>
      </c>
      <c r="O9" s="22">
        <f t="shared" si="4"/>
        <v>35200</v>
      </c>
      <c r="P9" s="22">
        <f t="shared" si="5"/>
        <v>0</v>
      </c>
      <c r="Q9" s="22">
        <f t="shared" si="6"/>
        <v>0</v>
      </c>
      <c r="R9" s="22">
        <f t="shared" si="7"/>
        <v>0</v>
      </c>
      <c r="S9" s="22">
        <f t="shared" si="8"/>
        <v>0</v>
      </c>
      <c r="T9" s="22">
        <f t="shared" si="9"/>
        <v>0</v>
      </c>
      <c r="U9" s="22">
        <f t="shared" si="10"/>
        <v>150</v>
      </c>
      <c r="V9" s="22">
        <f t="shared" si="11"/>
        <v>35350</v>
      </c>
      <c r="W9" s="22"/>
      <c r="X9" s="22"/>
      <c r="Y9" s="22"/>
      <c r="Z9" s="22"/>
      <c r="AA9" s="22"/>
      <c r="AB9" s="22"/>
      <c r="AC9" s="22"/>
      <c r="AD9" s="22"/>
    </row>
    <row r="10" spans="1:30" x14ac:dyDescent="0.25">
      <c r="A10" s="4" t="s">
        <v>96</v>
      </c>
      <c r="B10" s="15">
        <v>10500</v>
      </c>
      <c r="C10" s="22">
        <f t="shared" si="12"/>
        <v>0</v>
      </c>
      <c r="D10" s="22">
        <f t="shared" si="13"/>
        <v>100</v>
      </c>
      <c r="E10" s="22">
        <v>11</v>
      </c>
      <c r="F10" s="22">
        <f t="shared" si="0"/>
        <v>11000</v>
      </c>
      <c r="G10" s="22">
        <v>11000</v>
      </c>
      <c r="H10" s="22">
        <v>0</v>
      </c>
      <c r="I10" s="22">
        <v>0</v>
      </c>
      <c r="J10" s="22">
        <f t="shared" si="1"/>
        <v>11000</v>
      </c>
      <c r="K10" s="22">
        <f t="shared" si="14"/>
        <v>0</v>
      </c>
      <c r="L10" s="22">
        <f t="shared" si="15"/>
        <v>0</v>
      </c>
      <c r="M10" s="22">
        <f t="shared" si="2"/>
        <v>400</v>
      </c>
      <c r="N10" s="22">
        <f t="shared" si="3"/>
        <v>0</v>
      </c>
      <c r="O10" s="22">
        <f t="shared" si="4"/>
        <v>35200</v>
      </c>
      <c r="P10" s="22">
        <f t="shared" si="5"/>
        <v>0</v>
      </c>
      <c r="Q10" s="22">
        <f t="shared" si="6"/>
        <v>0</v>
      </c>
      <c r="R10" s="22">
        <f t="shared" si="7"/>
        <v>0</v>
      </c>
      <c r="S10" s="22">
        <f t="shared" si="8"/>
        <v>0</v>
      </c>
      <c r="T10" s="22">
        <f t="shared" si="9"/>
        <v>100</v>
      </c>
      <c r="U10" s="22">
        <f t="shared" si="10"/>
        <v>0</v>
      </c>
      <c r="V10" s="22">
        <f t="shared" si="11"/>
        <v>35300</v>
      </c>
      <c r="W10" s="22"/>
      <c r="X10" s="22"/>
      <c r="Y10" s="22"/>
      <c r="Z10" s="22"/>
      <c r="AA10" s="22"/>
      <c r="AB10" s="22"/>
      <c r="AC10" s="22"/>
      <c r="AD10" s="22"/>
    </row>
    <row r="11" spans="1:30" x14ac:dyDescent="0.25">
      <c r="A11" s="4" t="s">
        <v>100</v>
      </c>
      <c r="B11" s="15">
        <v>9000</v>
      </c>
      <c r="C11" s="22">
        <f t="shared" si="12"/>
        <v>400</v>
      </c>
      <c r="D11" s="22">
        <f t="shared" si="13"/>
        <v>0</v>
      </c>
      <c r="E11" s="22">
        <v>11</v>
      </c>
      <c r="F11" s="22">
        <f t="shared" si="0"/>
        <v>11000</v>
      </c>
      <c r="G11" s="22">
        <v>11000</v>
      </c>
      <c r="H11" s="22">
        <v>0</v>
      </c>
      <c r="I11" s="22">
        <v>0</v>
      </c>
      <c r="J11" s="22">
        <f t="shared" si="1"/>
        <v>11000</v>
      </c>
      <c r="K11" s="22">
        <f t="shared" si="14"/>
        <v>0</v>
      </c>
      <c r="L11" s="22">
        <f t="shared" si="15"/>
        <v>0</v>
      </c>
      <c r="M11" s="22">
        <f t="shared" si="2"/>
        <v>2400</v>
      </c>
      <c r="N11" s="22">
        <f t="shared" si="3"/>
        <v>0</v>
      </c>
      <c r="O11" s="22">
        <f t="shared" si="4"/>
        <v>35200</v>
      </c>
      <c r="P11" s="22">
        <f t="shared" si="5"/>
        <v>0</v>
      </c>
      <c r="Q11" s="22">
        <f t="shared" si="6"/>
        <v>0</v>
      </c>
      <c r="R11" s="22">
        <f t="shared" si="7"/>
        <v>0</v>
      </c>
      <c r="S11" s="22">
        <f t="shared" si="8"/>
        <v>0</v>
      </c>
      <c r="T11" s="22">
        <f t="shared" si="9"/>
        <v>600</v>
      </c>
      <c r="U11" s="22">
        <f t="shared" si="10"/>
        <v>0</v>
      </c>
      <c r="V11" s="22">
        <f t="shared" si="11"/>
        <v>35800</v>
      </c>
      <c r="W11" s="22"/>
      <c r="X11" s="22"/>
      <c r="Y11" s="22"/>
      <c r="Z11" s="22"/>
      <c r="AA11" s="22"/>
      <c r="AB11" s="22"/>
      <c r="AC11" s="22"/>
      <c r="AD11" s="22"/>
    </row>
    <row r="12" spans="1:30" x14ac:dyDescent="0.25">
      <c r="A12" s="4" t="s">
        <v>104</v>
      </c>
      <c r="B12" s="15">
        <v>7000</v>
      </c>
      <c r="C12" s="22">
        <f t="shared" si="12"/>
        <v>2400</v>
      </c>
      <c r="D12" s="22">
        <f t="shared" si="13"/>
        <v>0</v>
      </c>
      <c r="E12" s="22">
        <v>11</v>
      </c>
      <c r="F12" s="22">
        <f t="shared" si="0"/>
        <v>11000</v>
      </c>
      <c r="G12" s="22">
        <v>11000</v>
      </c>
      <c r="H12" s="22">
        <v>0</v>
      </c>
      <c r="I12" s="22">
        <v>0</v>
      </c>
      <c r="J12" s="22">
        <f t="shared" si="1"/>
        <v>11000</v>
      </c>
      <c r="K12" s="22">
        <f t="shared" si="14"/>
        <v>0</v>
      </c>
      <c r="L12" s="22">
        <f t="shared" si="15"/>
        <v>0</v>
      </c>
      <c r="M12" s="22">
        <f t="shared" si="2"/>
        <v>6400</v>
      </c>
      <c r="N12" s="22">
        <f t="shared" si="3"/>
        <v>0</v>
      </c>
      <c r="O12" s="22">
        <f t="shared" si="4"/>
        <v>35200</v>
      </c>
      <c r="P12" s="22">
        <f t="shared" si="5"/>
        <v>0</v>
      </c>
      <c r="Q12" s="22">
        <f t="shared" si="6"/>
        <v>0</v>
      </c>
      <c r="R12" s="22">
        <f t="shared" si="7"/>
        <v>0</v>
      </c>
      <c r="S12" s="22">
        <f t="shared" si="8"/>
        <v>0</v>
      </c>
      <c r="T12" s="22">
        <f t="shared" si="9"/>
        <v>1600</v>
      </c>
      <c r="U12" s="22">
        <f t="shared" si="10"/>
        <v>0</v>
      </c>
      <c r="V12" s="22">
        <f t="shared" si="11"/>
        <v>36800</v>
      </c>
      <c r="W12" s="22"/>
      <c r="X12" s="22"/>
      <c r="Y12" s="22"/>
      <c r="Z12" s="22"/>
      <c r="AA12" s="22"/>
      <c r="AB12" s="22"/>
      <c r="AC12" s="22"/>
      <c r="AD12" s="22"/>
    </row>
    <row r="13" spans="1:30" x14ac:dyDescent="0.25">
      <c r="A13" s="4" t="s">
        <v>107</v>
      </c>
      <c r="B13" s="15">
        <v>6000</v>
      </c>
      <c r="C13" s="22">
        <f t="shared" si="12"/>
        <v>6400</v>
      </c>
      <c r="D13" s="22">
        <f t="shared" si="13"/>
        <v>0</v>
      </c>
      <c r="E13" s="22">
        <v>11</v>
      </c>
      <c r="F13" s="22">
        <f t="shared" si="0"/>
        <v>11000</v>
      </c>
      <c r="G13" s="22">
        <v>11000</v>
      </c>
      <c r="H13" s="22">
        <v>0</v>
      </c>
      <c r="I13" s="22">
        <v>0</v>
      </c>
      <c r="J13" s="22">
        <f t="shared" si="1"/>
        <v>11000</v>
      </c>
      <c r="K13" s="22">
        <f t="shared" si="14"/>
        <v>0</v>
      </c>
      <c r="L13" s="22">
        <f t="shared" si="15"/>
        <v>0</v>
      </c>
      <c r="M13" s="22">
        <f t="shared" si="2"/>
        <v>11400</v>
      </c>
      <c r="N13" s="22">
        <f t="shared" si="3"/>
        <v>0</v>
      </c>
      <c r="O13" s="22">
        <f t="shared" si="4"/>
        <v>35200</v>
      </c>
      <c r="P13" s="22">
        <f t="shared" si="5"/>
        <v>0</v>
      </c>
      <c r="Q13" s="22">
        <f t="shared" si="6"/>
        <v>0</v>
      </c>
      <c r="R13" s="22">
        <f t="shared" si="7"/>
        <v>0</v>
      </c>
      <c r="S13" s="22">
        <f t="shared" si="8"/>
        <v>0</v>
      </c>
      <c r="T13" s="22">
        <f t="shared" si="9"/>
        <v>2850</v>
      </c>
      <c r="U13" s="22">
        <f t="shared" si="10"/>
        <v>0</v>
      </c>
      <c r="V13" s="22">
        <f t="shared" si="11"/>
        <v>38050</v>
      </c>
      <c r="W13" s="22"/>
      <c r="X13" s="22"/>
      <c r="Y13" s="22"/>
      <c r="Z13" s="22"/>
      <c r="AA13" s="22"/>
      <c r="AB13" s="22"/>
      <c r="AC13" s="22"/>
      <c r="AD13" s="22"/>
    </row>
    <row r="14" spans="1:30" x14ac:dyDescent="0.25">
      <c r="A14" s="23" t="s">
        <v>140</v>
      </c>
      <c r="B14" s="24"/>
      <c r="C14" s="25"/>
      <c r="D14" s="25"/>
      <c r="E14" s="25"/>
      <c r="F14" s="25">
        <f t="shared" ref="F14:L14" si="16">SUM(F2:F13)</f>
        <v>132000</v>
      </c>
      <c r="G14" s="25">
        <f t="shared" si="16"/>
        <v>132000</v>
      </c>
      <c r="H14" s="25">
        <f t="shared" si="16"/>
        <v>3000</v>
      </c>
      <c r="I14" s="25">
        <f t="shared" si="16"/>
        <v>0</v>
      </c>
      <c r="J14" s="25">
        <f t="shared" si="16"/>
        <v>135000</v>
      </c>
      <c r="K14" s="25">
        <f t="shared" si="16"/>
        <v>3</v>
      </c>
      <c r="L14" s="25">
        <f t="shared" si="16"/>
        <v>0</v>
      </c>
      <c r="M14" s="25"/>
      <c r="N14" s="25"/>
      <c r="O14" s="25">
        <f t="shared" ref="O14:V14" si="17">SUM(O2:O13)</f>
        <v>422400</v>
      </c>
      <c r="P14" s="25">
        <f t="shared" si="17"/>
        <v>1800</v>
      </c>
      <c r="Q14" s="25">
        <f t="shared" si="17"/>
        <v>0</v>
      </c>
      <c r="R14" s="25">
        <f t="shared" si="17"/>
        <v>13500</v>
      </c>
      <c r="S14" s="25">
        <f t="shared" si="17"/>
        <v>0</v>
      </c>
      <c r="T14" s="25">
        <f t="shared" si="17"/>
        <v>23225</v>
      </c>
      <c r="U14" s="25">
        <f t="shared" si="17"/>
        <v>150</v>
      </c>
      <c r="V14" s="25">
        <f t="shared" si="17"/>
        <v>461075</v>
      </c>
      <c r="W14" s="25"/>
      <c r="X14" s="25"/>
      <c r="Y14" s="25"/>
      <c r="Z14" s="25"/>
      <c r="AA14" s="25"/>
      <c r="AB14" s="25"/>
      <c r="AC14" s="25"/>
      <c r="AD14" s="25"/>
    </row>
    <row r="16" spans="1:30" ht="15.75" x14ac:dyDescent="0.25">
      <c r="A16" s="6" t="s">
        <v>141</v>
      </c>
    </row>
    <row r="17" spans="1:3" ht="30" customHeight="1" x14ac:dyDescent="0.25">
      <c r="A17" s="39" t="s">
        <v>142</v>
      </c>
      <c r="B17" s="40"/>
      <c r="C17" s="22">
        <f>BottlesPerHour*HoursPerDay*DaysPerMonth</f>
        <v>1000</v>
      </c>
    </row>
    <row r="18" spans="1:3" ht="30" customHeight="1" x14ac:dyDescent="0.25">
      <c r="A18" s="39" t="s">
        <v>171</v>
      </c>
      <c r="B18" s="40"/>
      <c r="C18" s="22">
        <f>C17*OTLimitPct</f>
        <v>200</v>
      </c>
    </row>
    <row r="20" spans="1:3" x14ac:dyDescent="0.25">
      <c r="A20" s="3" t="s">
        <v>172</v>
      </c>
    </row>
    <row r="21" spans="1:3" x14ac:dyDescent="0.25">
      <c r="A21" s="2" t="s">
        <v>145</v>
      </c>
    </row>
    <row r="22" spans="1:3" x14ac:dyDescent="0.25">
      <c r="A22" s="2" t="s">
        <v>173</v>
      </c>
    </row>
  </sheetData>
  <sheetProtection sheet="1" formatCells="0" formatColumns="0" formatRows="0"/>
  <mergeCells count="2">
    <mergeCell ref="A18:B18"/>
    <mergeCell ref="A17:B17"/>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
  <sheetViews>
    <sheetView showGridLines="0" workbookViewId="0"/>
  </sheetViews>
  <sheetFormatPr defaultRowHeight="15" x14ac:dyDescent="0.25"/>
  <cols>
    <col min="1" max="1" width="40" customWidth="1"/>
    <col min="2" max="4" width="17" customWidth="1"/>
    <col min="5" max="5" width="40" customWidth="1"/>
  </cols>
  <sheetData>
    <row r="1" spans="1:5" ht="21" x14ac:dyDescent="0.35">
      <c r="A1" s="1" t="s">
        <v>174</v>
      </c>
    </row>
    <row r="3" spans="1:5" x14ac:dyDescent="0.25">
      <c r="A3" s="20" t="s">
        <v>175</v>
      </c>
      <c r="B3" s="20" t="s">
        <v>176</v>
      </c>
      <c r="C3" s="20" t="s">
        <v>177</v>
      </c>
      <c r="D3" s="20" t="s">
        <v>178</v>
      </c>
      <c r="E3" s="20" t="s">
        <v>179</v>
      </c>
    </row>
    <row r="4" spans="1:5" x14ac:dyDescent="0.25">
      <c r="A4" s="16" t="s">
        <v>180</v>
      </c>
      <c r="B4" s="26">
        <f>'Chase Plan'!L14</f>
        <v>403200</v>
      </c>
      <c r="C4" s="26">
        <f>'Level Plan'!K14</f>
        <v>422400</v>
      </c>
      <c r="D4" s="26">
        <f>'Hybrid Plan'!O14</f>
        <v>422400</v>
      </c>
      <c r="E4" s="2" t="s">
        <v>181</v>
      </c>
    </row>
    <row r="5" spans="1:5" x14ac:dyDescent="0.25">
      <c r="A5" s="16" t="s">
        <v>182</v>
      </c>
      <c r="B5" s="26">
        <f>'Chase Plan'!O14</f>
        <v>8400</v>
      </c>
      <c r="C5" s="26">
        <f>'Level Plan'!L14</f>
        <v>1800</v>
      </c>
      <c r="D5" s="26">
        <f>'Hybrid Plan'!P14</f>
        <v>1800</v>
      </c>
      <c r="E5" s="2" t="s">
        <v>181</v>
      </c>
    </row>
    <row r="6" spans="1:5" x14ac:dyDescent="0.25">
      <c r="A6" s="16" t="s">
        <v>183</v>
      </c>
      <c r="B6" s="26">
        <f>'Chase Plan'!P14</f>
        <v>14400</v>
      </c>
      <c r="C6" s="26">
        <f>'Level Plan'!M14</f>
        <v>0</v>
      </c>
      <c r="D6" s="26">
        <f>'Hybrid Plan'!Q14</f>
        <v>0</v>
      </c>
      <c r="E6" s="2" t="s">
        <v>181</v>
      </c>
    </row>
    <row r="7" spans="1:5" x14ac:dyDescent="0.25">
      <c r="A7" s="16" t="s">
        <v>184</v>
      </c>
      <c r="B7" s="27" t="s">
        <v>185</v>
      </c>
      <c r="C7" s="27" t="s">
        <v>185</v>
      </c>
      <c r="D7" s="26">
        <f>'Hybrid Plan'!R14</f>
        <v>13500</v>
      </c>
      <c r="E7" s="2" t="s">
        <v>186</v>
      </c>
    </row>
    <row r="8" spans="1:5" x14ac:dyDescent="0.25">
      <c r="A8" s="16" t="s">
        <v>187</v>
      </c>
      <c r="B8" s="27" t="s">
        <v>185</v>
      </c>
      <c r="C8" s="27" t="s">
        <v>185</v>
      </c>
      <c r="D8" s="26">
        <f>'Hybrid Plan'!S14</f>
        <v>0</v>
      </c>
      <c r="E8" s="2" t="s">
        <v>186</v>
      </c>
    </row>
    <row r="9" spans="1:5" x14ac:dyDescent="0.25">
      <c r="A9" s="16" t="s">
        <v>188</v>
      </c>
      <c r="B9" s="26">
        <f>'Chase Plan'!M14</f>
        <v>0</v>
      </c>
      <c r="C9" s="26">
        <f>'Level Plan'!N14</f>
        <v>13425</v>
      </c>
      <c r="D9" s="26">
        <f>'Hybrid Plan'!T14</f>
        <v>23225</v>
      </c>
      <c r="E9" s="2" t="s">
        <v>181</v>
      </c>
    </row>
    <row r="10" spans="1:5" x14ac:dyDescent="0.25">
      <c r="A10" s="16" t="s">
        <v>189</v>
      </c>
      <c r="B10" s="26">
        <f>'Chase Plan'!N14</f>
        <v>0</v>
      </c>
      <c r="C10" s="26">
        <f>'Level Plan'!O14</f>
        <v>51750</v>
      </c>
      <c r="D10" s="26">
        <f>'Hybrid Plan'!U14</f>
        <v>150</v>
      </c>
      <c r="E10" s="2" t="s">
        <v>181</v>
      </c>
    </row>
    <row r="11" spans="1:5" x14ac:dyDescent="0.25">
      <c r="A11" s="28" t="s">
        <v>190</v>
      </c>
      <c r="B11" s="29">
        <f>'Chase Plan'!Q14</f>
        <v>426000</v>
      </c>
      <c r="C11" s="29">
        <f>'Level Plan'!P14</f>
        <v>489375</v>
      </c>
      <c r="D11" s="29">
        <f>'Hybrid Plan'!V14</f>
        <v>461075</v>
      </c>
      <c r="E11" s="2" t="s">
        <v>181</v>
      </c>
    </row>
    <row r="12" spans="1:5" x14ac:dyDescent="0.25">
      <c r="A12" s="16" t="s">
        <v>191</v>
      </c>
      <c r="B12" s="30">
        <f>'Chase Plan'!H14</f>
        <v>14</v>
      </c>
      <c r="C12" s="30">
        <f>'Level Plan'!G14</f>
        <v>3</v>
      </c>
      <c r="D12" s="30">
        <f>'Hybrid Plan'!K14</f>
        <v>3</v>
      </c>
      <c r="E12" s="2" t="s">
        <v>192</v>
      </c>
    </row>
    <row r="13" spans="1:5" x14ac:dyDescent="0.25">
      <c r="A13" s="16" t="s">
        <v>193</v>
      </c>
      <c r="B13" s="30">
        <f>'Chase Plan'!I14</f>
        <v>16</v>
      </c>
      <c r="C13" s="30">
        <f>'Level Plan'!H14</f>
        <v>0</v>
      </c>
      <c r="D13" s="30">
        <f>'Hybrid Plan'!L14</f>
        <v>0</v>
      </c>
      <c r="E13" s="2" t="s">
        <v>192</v>
      </c>
    </row>
    <row r="14" spans="1:5" x14ac:dyDescent="0.25">
      <c r="A14" s="16" t="s">
        <v>194</v>
      </c>
      <c r="B14" s="30">
        <f>MAX('Chase Plan'!F2:F13)</f>
        <v>19</v>
      </c>
      <c r="C14" s="30">
        <f>MAX('Level Plan'!F2:F13)</f>
        <v>11</v>
      </c>
      <c r="D14" s="30">
        <f>MAX('Hybrid Plan'!E2:E13)</f>
        <v>11</v>
      </c>
      <c r="E14" s="2" t="s">
        <v>195</v>
      </c>
    </row>
    <row r="15" spans="1:5" x14ac:dyDescent="0.25">
      <c r="A15" s="16" t="s">
        <v>196</v>
      </c>
      <c r="B15" s="30">
        <f>MAX('Chase Plan'!K2:K13)</f>
        <v>0</v>
      </c>
      <c r="C15" s="30">
        <f>MAX('Level Plan'!I2:I13)</f>
        <v>13300</v>
      </c>
      <c r="D15" s="30">
        <f>MAX('Hybrid Plan'!M2:M13)</f>
        <v>15400</v>
      </c>
      <c r="E15" s="2" t="s">
        <v>195</v>
      </c>
    </row>
    <row r="16" spans="1:5" x14ac:dyDescent="0.25">
      <c r="A16" s="16" t="s">
        <v>197</v>
      </c>
      <c r="B16" s="30">
        <f>COUNTIF('Chase Plan'!J2:J13,"&gt;0")</f>
        <v>0</v>
      </c>
      <c r="C16" s="30">
        <f>COUNTIF('Level Plan'!J2:J13,"&gt;0")</f>
        <v>5</v>
      </c>
      <c r="D16" s="30">
        <f>COUNTIF('Hybrid Plan'!N2:N13,"&gt;0")</f>
        <v>1</v>
      </c>
      <c r="E16" s="2" t="s">
        <v>198</v>
      </c>
    </row>
    <row r="18" spans="1:5" x14ac:dyDescent="0.25">
      <c r="A18" s="28" t="s">
        <v>199</v>
      </c>
      <c r="B18" s="31" t="str">
        <f>IF(B11&lt;C11,"Chase","Level")</f>
        <v>Chase</v>
      </c>
      <c r="E18" s="2" t="s">
        <v>200</v>
      </c>
    </row>
    <row r="19" spans="1:5" x14ac:dyDescent="0.25">
      <c r="A19" s="28" t="s">
        <v>201</v>
      </c>
      <c r="B19" s="26">
        <f>ABS(B11-C11)</f>
        <v>63375</v>
      </c>
      <c r="E19" s="2" t="s">
        <v>202</v>
      </c>
    </row>
    <row r="21" spans="1:5" x14ac:dyDescent="0.25">
      <c r="A21" s="28" t="s">
        <v>203</v>
      </c>
      <c r="B21" s="31" t="s">
        <v>176</v>
      </c>
      <c r="E21" s="2" t="s">
        <v>204</v>
      </c>
    </row>
    <row r="22" spans="1:5" x14ac:dyDescent="0.25">
      <c r="A22" s="32" t="s">
        <v>205</v>
      </c>
      <c r="B22" s="41" t="s">
        <v>206</v>
      </c>
      <c r="C22" s="37"/>
      <c r="D22" s="37"/>
      <c r="E22" s="37"/>
    </row>
    <row r="23" spans="1:5" x14ac:dyDescent="0.25">
      <c r="A23" s="36" t="s">
        <v>207</v>
      </c>
      <c r="B23" s="37"/>
      <c r="C23" s="37"/>
      <c r="D23" s="37"/>
      <c r="E23" s="37"/>
    </row>
    <row r="24" spans="1:5" x14ac:dyDescent="0.25">
      <c r="A24" s="37"/>
      <c r="B24" s="37"/>
      <c r="C24" s="37"/>
      <c r="D24" s="37"/>
      <c r="E24" s="37"/>
    </row>
    <row r="25" spans="1:5" x14ac:dyDescent="0.25">
      <c r="A25" s="37"/>
      <c r="B25" s="37"/>
      <c r="C25" s="37"/>
      <c r="D25" s="37"/>
      <c r="E25" s="37"/>
    </row>
    <row r="26" spans="1:5" x14ac:dyDescent="0.25">
      <c r="A26" s="37"/>
      <c r="B26" s="37"/>
      <c r="C26" s="37"/>
      <c r="D26" s="37"/>
      <c r="E26" s="37"/>
    </row>
    <row r="27" spans="1:5" x14ac:dyDescent="0.25">
      <c r="A27" s="37"/>
      <c r="B27" s="37"/>
      <c r="C27" s="37"/>
      <c r="D27" s="37"/>
      <c r="E27" s="37"/>
    </row>
    <row r="28" spans="1:5" x14ac:dyDescent="0.25">
      <c r="B28" s="37"/>
      <c r="C28" s="37"/>
      <c r="D28" s="37"/>
      <c r="E28" s="37"/>
    </row>
    <row r="29" spans="1:5" x14ac:dyDescent="0.25">
      <c r="B29" s="37"/>
      <c r="C29" s="37"/>
      <c r="D29" s="37"/>
      <c r="E29" s="37"/>
    </row>
    <row r="30" spans="1:5" x14ac:dyDescent="0.25">
      <c r="B30" s="37"/>
      <c r="C30" s="37"/>
      <c r="D30" s="37"/>
      <c r="E30" s="37"/>
    </row>
  </sheetData>
  <sheetProtection sheet="1" formatCells="0" formatColumns="0" formatRows="0"/>
  <mergeCells count="2">
    <mergeCell ref="A23:A27"/>
    <mergeCell ref="B22:E30"/>
  </mergeCells>
  <dataValidations count="1">
    <dataValidation type="list" allowBlank="1" promptTitle="Recommendation" prompt="Pick the plan you recommend" sqref="B21" xr:uid="{00000000-0002-0000-0500-000000000000}">
      <formula1>"Chase,Level,Hybrid"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6"/>
  <sheetViews>
    <sheetView showGridLines="0" workbookViewId="0"/>
  </sheetViews>
  <sheetFormatPr defaultRowHeight="15" x14ac:dyDescent="0.25"/>
  <cols>
    <col min="1" max="2" width="30" customWidth="1"/>
    <col min="3" max="3" width="70" customWidth="1"/>
  </cols>
  <sheetData>
    <row r="1" spans="1:3" ht="21" x14ac:dyDescent="0.35">
      <c r="A1" s="1" t="s">
        <v>208</v>
      </c>
    </row>
    <row r="3" spans="1:3" ht="15.75" x14ac:dyDescent="0.25">
      <c r="A3" s="6" t="s">
        <v>209</v>
      </c>
    </row>
    <row r="4" spans="1:3" ht="45" customHeight="1" x14ac:dyDescent="0.25">
      <c r="A4" s="7" t="s">
        <v>210</v>
      </c>
      <c r="B4" s="38" t="s">
        <v>211</v>
      </c>
      <c r="C4" s="37"/>
    </row>
    <row r="5" spans="1:3" ht="45" customHeight="1" x14ac:dyDescent="0.25">
      <c r="A5" s="7" t="s">
        <v>212</v>
      </c>
      <c r="B5" s="38" t="s">
        <v>213</v>
      </c>
      <c r="C5" s="37"/>
    </row>
    <row r="6" spans="1:3" ht="45" customHeight="1" x14ac:dyDescent="0.25">
      <c r="A6" s="7" t="s">
        <v>214</v>
      </c>
      <c r="B6" s="38" t="s">
        <v>215</v>
      </c>
      <c r="C6" s="37"/>
    </row>
    <row r="7" spans="1:3" ht="45" customHeight="1" x14ac:dyDescent="0.25">
      <c r="A7" s="7" t="s">
        <v>216</v>
      </c>
      <c r="B7" s="38" t="s">
        <v>217</v>
      </c>
      <c r="C7" s="37"/>
    </row>
    <row r="8" spans="1:3" ht="45" customHeight="1" x14ac:dyDescent="0.25">
      <c r="A8" s="7" t="s">
        <v>218</v>
      </c>
      <c r="B8" s="38" t="s">
        <v>219</v>
      </c>
      <c r="C8" s="37"/>
    </row>
    <row r="9" spans="1:3" ht="45" customHeight="1" x14ac:dyDescent="0.25">
      <c r="A9" s="7" t="s">
        <v>220</v>
      </c>
      <c r="B9" s="38" t="s">
        <v>221</v>
      </c>
      <c r="C9" s="37"/>
    </row>
    <row r="11" spans="1:3" ht="15.75" x14ac:dyDescent="0.25">
      <c r="A11" s="6" t="s">
        <v>222</v>
      </c>
    </row>
    <row r="12" spans="1:3" x14ac:dyDescent="0.25">
      <c r="A12" s="3" t="s">
        <v>223</v>
      </c>
      <c r="B12" s="33" t="s">
        <v>224</v>
      </c>
      <c r="C12" s="8" t="s">
        <v>225</v>
      </c>
    </row>
    <row r="13" spans="1:3" x14ac:dyDescent="0.25">
      <c r="A13" s="3" t="s">
        <v>226</v>
      </c>
      <c r="B13" s="33" t="s">
        <v>227</v>
      </c>
      <c r="C13" s="8" t="s">
        <v>228</v>
      </c>
    </row>
    <row r="14" spans="1:3" x14ac:dyDescent="0.25">
      <c r="A14" s="3" t="s">
        <v>229</v>
      </c>
      <c r="B14" s="33" t="s">
        <v>230</v>
      </c>
      <c r="C14" s="8" t="s">
        <v>231</v>
      </c>
    </row>
    <row r="15" spans="1:3" x14ac:dyDescent="0.25">
      <c r="A15" s="3" t="s">
        <v>232</v>
      </c>
      <c r="B15" s="33" t="s">
        <v>233</v>
      </c>
      <c r="C15" s="8" t="s">
        <v>234</v>
      </c>
    </row>
    <row r="16" spans="1:3" x14ac:dyDescent="0.25">
      <c r="A16" s="3" t="s">
        <v>235</v>
      </c>
      <c r="B16" s="33" t="s">
        <v>236</v>
      </c>
      <c r="C16" s="8" t="s">
        <v>237</v>
      </c>
    </row>
    <row r="17" spans="1:3" x14ac:dyDescent="0.25">
      <c r="A17" s="3" t="s">
        <v>238</v>
      </c>
      <c r="B17" s="33" t="s">
        <v>239</v>
      </c>
      <c r="C17" s="8" t="s">
        <v>240</v>
      </c>
    </row>
    <row r="18" spans="1:3" x14ac:dyDescent="0.25">
      <c r="A18" s="3" t="s">
        <v>241</v>
      </c>
      <c r="B18" s="33" t="s">
        <v>242</v>
      </c>
      <c r="C18" s="8" t="s">
        <v>243</v>
      </c>
    </row>
    <row r="20" spans="1:3" ht="15.75" x14ac:dyDescent="0.25">
      <c r="A20" s="6" t="s">
        <v>244</v>
      </c>
    </row>
    <row r="21" spans="1:3" ht="30" customHeight="1" x14ac:dyDescent="0.25">
      <c r="A21" s="3" t="s">
        <v>245</v>
      </c>
      <c r="B21" s="38" t="s">
        <v>246</v>
      </c>
      <c r="C21" s="37"/>
    </row>
    <row r="22" spans="1:3" ht="30" customHeight="1" x14ac:dyDescent="0.25">
      <c r="A22" s="3" t="s">
        <v>247</v>
      </c>
      <c r="B22" s="38" t="s">
        <v>248</v>
      </c>
      <c r="C22" s="37"/>
    </row>
    <row r="23" spans="1:3" ht="30" customHeight="1" x14ac:dyDescent="0.25">
      <c r="A23" s="3" t="s">
        <v>249</v>
      </c>
      <c r="B23" s="38" t="s">
        <v>250</v>
      </c>
      <c r="C23" s="37"/>
    </row>
    <row r="24" spans="1:3" ht="30" customHeight="1" x14ac:dyDescent="0.25">
      <c r="A24" s="3" t="s">
        <v>251</v>
      </c>
      <c r="B24" s="38" t="s">
        <v>252</v>
      </c>
      <c r="C24" s="37"/>
    </row>
    <row r="25" spans="1:3" ht="30" customHeight="1" x14ac:dyDescent="0.25">
      <c r="A25" s="3" t="s">
        <v>253</v>
      </c>
      <c r="B25" s="38" t="s">
        <v>254</v>
      </c>
      <c r="C25" s="37"/>
    </row>
    <row r="27" spans="1:3" ht="15.75" x14ac:dyDescent="0.25">
      <c r="A27" s="6" t="s">
        <v>255</v>
      </c>
    </row>
    <row r="28" spans="1:3" ht="32.1" customHeight="1" x14ac:dyDescent="0.25">
      <c r="A28" s="38" t="s">
        <v>256</v>
      </c>
      <c r="B28" s="37"/>
      <c r="C28" s="37"/>
    </row>
    <row r="30" spans="1:3" x14ac:dyDescent="0.25">
      <c r="A30" s="3" t="s">
        <v>257</v>
      </c>
      <c r="B30" s="34">
        <v>0.25</v>
      </c>
    </row>
    <row r="31" spans="1:3" x14ac:dyDescent="0.25">
      <c r="A31" t="s">
        <v>258</v>
      </c>
      <c r="B31" s="35">
        <v>1200</v>
      </c>
      <c r="C31" s="26"/>
    </row>
    <row r="32" spans="1:3" x14ac:dyDescent="0.25">
      <c r="A32" t="s">
        <v>259</v>
      </c>
      <c r="B32" s="35">
        <v>850</v>
      </c>
      <c r="C32" s="26"/>
    </row>
    <row r="33" spans="1:3" x14ac:dyDescent="0.25">
      <c r="A33" t="s">
        <v>260</v>
      </c>
      <c r="B33" s="35">
        <v>1500</v>
      </c>
      <c r="C33" s="26"/>
    </row>
    <row r="34" spans="1:3" x14ac:dyDescent="0.25">
      <c r="A34" t="s">
        <v>261</v>
      </c>
      <c r="B34" s="35">
        <v>2300</v>
      </c>
      <c r="C34" s="26"/>
    </row>
    <row r="35" spans="1:3" x14ac:dyDescent="0.25">
      <c r="A35" t="s">
        <v>262</v>
      </c>
      <c r="B35" s="35">
        <v>975</v>
      </c>
      <c r="C35" s="26"/>
    </row>
    <row r="36" spans="1:3" x14ac:dyDescent="0.25">
      <c r="A36" t="s">
        <v>263</v>
      </c>
      <c r="B36" s="35">
        <v>1840</v>
      </c>
      <c r="C36" s="26"/>
    </row>
  </sheetData>
  <sheetProtection sheet="1" formatCells="0" formatColumns="0" formatRows="0"/>
  <mergeCells count="12">
    <mergeCell ref="B4:C4"/>
    <mergeCell ref="B5:C5"/>
    <mergeCell ref="B23:C23"/>
    <mergeCell ref="B22:C22"/>
    <mergeCell ref="B9:C9"/>
    <mergeCell ref="B8:C8"/>
    <mergeCell ref="A28:C28"/>
    <mergeCell ref="B6:C6"/>
    <mergeCell ref="B21:C21"/>
    <mergeCell ref="B24:C24"/>
    <mergeCell ref="B7:C7"/>
    <mergeCell ref="B25:C2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defaultRowHeight="15" x14ac:dyDescent="0.25"/>
  <sheetData>
    <row r="1" spans="1:2" x14ac:dyDescent="0.25">
      <c r="A1" t="s">
        <v>264</v>
      </c>
      <c r="B1" t="s">
        <v>265</v>
      </c>
    </row>
    <row r="2" spans="1:2" x14ac:dyDescent="0.25">
      <c r="A2" t="s">
        <v>266</v>
      </c>
      <c r="B2">
        <v>2</v>
      </c>
    </row>
    <row r="3" spans="1:2" x14ac:dyDescent="0.25">
      <c r="A3" t="s">
        <v>267</v>
      </c>
      <c r="B3" t="s">
        <v>268</v>
      </c>
    </row>
    <row r="4" spans="1:2" x14ac:dyDescent="0.25">
      <c r="A4" t="s">
        <v>269</v>
      </c>
      <c r="B4">
        <v>7</v>
      </c>
    </row>
    <row r="5" spans="1:2" x14ac:dyDescent="0.25">
      <c r="A5" t="s">
        <v>270</v>
      </c>
      <c r="B5" t="s">
        <v>271</v>
      </c>
    </row>
    <row r="6" spans="1:2" x14ac:dyDescent="0.25">
      <c r="A6" t="s">
        <v>272</v>
      </c>
      <c r="B6" t="s">
        <v>6</v>
      </c>
    </row>
    <row r="7" spans="1:2" x14ac:dyDescent="0.25">
      <c r="A7" t="s">
        <v>273</v>
      </c>
      <c r="B7" t="s">
        <v>3</v>
      </c>
    </row>
    <row r="8" spans="1:2" x14ac:dyDescent="0.25">
      <c r="A8" t="s">
        <v>274</v>
      </c>
    </row>
    <row r="9" spans="1:2" x14ac:dyDescent="0.25">
      <c r="A9" t="s">
        <v>275</v>
      </c>
      <c r="B9" t="s">
        <v>276</v>
      </c>
    </row>
    <row r="10" spans="1:2" x14ac:dyDescent="0.25">
      <c r="A10" t="s">
        <v>277</v>
      </c>
      <c r="B10" t="s">
        <v>278</v>
      </c>
    </row>
  </sheetData>
  <sheetProtection sheet="1" formatCells="0"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17</vt:i4>
      </vt:variant>
    </vt:vector>
  </HeadingPairs>
  <TitlesOfParts>
    <vt:vector size="24" baseType="lpstr">
      <vt:lpstr>Start Here</vt:lpstr>
      <vt:lpstr>Scenario</vt:lpstr>
      <vt:lpstr>Chase Plan</vt:lpstr>
      <vt:lpstr>Level Plan</vt:lpstr>
      <vt:lpstr>Hybrid Plan</vt:lpstr>
      <vt:lpstr>Summary</vt:lpstr>
      <vt:lpstr>Excel Help</vt:lpstr>
      <vt:lpstr>BackorderCost</vt:lpstr>
      <vt:lpstr>BeginInv</vt:lpstr>
      <vt:lpstr>BottlesPerHour</vt:lpstr>
      <vt:lpstr>DaysPerMonth</vt:lpstr>
      <vt:lpstr>EndTarget</vt:lpstr>
      <vt:lpstr>HireCost</vt:lpstr>
      <vt:lpstr>HoldCost</vt:lpstr>
      <vt:lpstr>HoursPerDay</vt:lpstr>
      <vt:lpstr>LaborCost</vt:lpstr>
      <vt:lpstr>LayoffCost</vt:lpstr>
      <vt:lpstr>MaxInventory</vt:lpstr>
      <vt:lpstr>OTCost</vt:lpstr>
      <vt:lpstr>OTLimitPct</vt:lpstr>
      <vt:lpstr>SafetyStock</vt:lpstr>
      <vt:lpstr>StartWorkers</vt:lpstr>
      <vt:lpstr>SubCapacity</vt:lpstr>
      <vt:lpstr>SubCost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M Scherpereel</cp:lastModifiedBy>
  <dcterms:created xsi:type="dcterms:W3CDTF">2026-10-19T18:53:57Z</dcterms:created>
  <dcterms:modified xsi:type="dcterms:W3CDTF">2026-10-19T18:53:57Z</dcterms:modified>
</cp:coreProperties>
</file>